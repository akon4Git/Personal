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1.xml" ContentType="application/vnd.openxmlformats-officedocument.customXmlProperties+xml"/>
  <Override PartName="/customXml/itemProps3.xml" ContentType="application/vnd.openxmlformats-officedocument.customXmlProperties+xml"/>
  <Override PartName="/customXml/itemProps2.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ttps://amedeloitte.sharepoint.com/sites/Testing-SfE/Shared Documents/Kx Upload/Data Migration Testing/"/>
    </mc:Choice>
  </mc:AlternateContent>
  <xr:revisionPtr revIDLastSave="4" documentId="11_0E30A8F0A11FE12F04DAB8C4C612F709F9F7353B" xr6:coauthVersionLast="41" xr6:coauthVersionMax="45" xr10:uidLastSave="{CC8EEABC-D2B5-495D-AAC0-AFA85271CF4C}"/>
  <bookViews>
    <workbookView xWindow="-110" yWindow="-110" windowWidth="19420" windowHeight="10420" tabRatio="887" activeTab="5" xr2:uid="{00000000-000D-0000-FFFF-FFFF00000000}"/>
  </bookViews>
  <sheets>
    <sheet name="Instructions" sheetId="2" r:id="rId1"/>
    <sheet name="Complexity Definitions" sheetId="1" r:id="rId2"/>
    <sheet name="Define Scope" sheetId="3" r:id="rId3"/>
    <sheet name="Data Entry" sheetId="4" r:id="rId4"/>
    <sheet name="Estimation Summary" sheetId="6" r:id="rId5"/>
    <sheet name="Testing Effort Break-Up" sheetId="5" r:id="rId6"/>
  </sheets>
  <functionGroups builtInGroupCount="19"/>
  <calcPr calcId="191028"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4" i="5" l="1"/>
  <c r="P9" i="5" l="1"/>
  <c r="P10" i="5"/>
  <c r="P8" i="5"/>
  <c r="P11" i="5" l="1"/>
  <c r="P7" i="5" l="1"/>
  <c r="P12" i="5" s="1"/>
  <c r="G9" i="5"/>
  <c r="H9" i="5"/>
  <c r="H8" i="5" l="1"/>
  <c r="H13" i="5"/>
  <c r="H10" i="5"/>
  <c r="H11" i="5"/>
  <c r="H12" i="5"/>
  <c r="H7" i="5"/>
  <c r="H16" i="5" l="1"/>
  <c r="H17" i="5"/>
  <c r="H15" i="5"/>
  <c r="H14" i="5" s="1"/>
  <c r="G12" i="1"/>
  <c r="H18" i="5" l="1"/>
  <c r="C9" i="3"/>
  <c r="F23" i="1" l="1"/>
  <c r="H12" i="1"/>
  <c r="F12" i="1"/>
  <c r="E12" i="1"/>
  <c r="H9" i="1"/>
  <c r="G9" i="1"/>
  <c r="F9" i="1"/>
  <c r="E9" i="1"/>
  <c r="D9" i="1"/>
  <c r="C9" i="1"/>
</calcChain>
</file>

<file path=xl/sharedStrings.xml><?xml version="1.0" encoding="utf-8"?>
<sst xmlns="http://schemas.openxmlformats.org/spreadsheetml/2006/main" count="277" uniqueCount="166">
  <si>
    <r>
      <t>Deloitte</t>
    </r>
    <r>
      <rPr>
        <b/>
        <sz val="22"/>
        <color rgb="FF92D050"/>
        <rFont val="Verdana"/>
        <family val="2"/>
      </rPr>
      <t>.</t>
    </r>
  </si>
  <si>
    <r>
      <t xml:space="preserve">Data Migration and MDM Testing Estimation tool is designed to help practitioners estimate the testing effort utilizing standard modules/functionalities that are implemented in Data Migration and MDM Implementation. The estimation module is complexity driven framework and is flexible and customizable to include unique functionalities to a project. The tool takes a bottom-up approach and rolls up estimates to SDLC phases, Cutover, Hypercare support.
****Please reach out to </t>
    </r>
    <r>
      <rPr>
        <b/>
        <sz val="10"/>
        <color theme="8"/>
        <rFont val="Google Sans"/>
        <family val="2"/>
      </rPr>
      <t>dataqualityengineers@deloitte.com</t>
    </r>
    <r>
      <rPr>
        <sz val="10"/>
        <rFont val="Google Sans"/>
        <family val="2"/>
      </rPr>
      <t xml:space="preserve"> for any issues/review comments****</t>
    </r>
  </si>
  <si>
    <t>Purpose</t>
  </si>
  <si>
    <t>Complexity definitions and multiplier(hrs) are defined for the following Data Testing types : 
1. Transformation Logic
2. UI Complexity ( if the project involves any UI Validations)
3. Data Quality (IDQ) Rules
4. MDM Rules
User can always change the multiplier field based on the project needs and phases
 External Lookup multiplier is also defined for transformations</t>
  </si>
  <si>
    <t>Define the Scope for Data Migration and MDM QA work
User can also use Placeholder rows to add any unique functionalities/implementation for the program</t>
  </si>
  <si>
    <t>Review Estimation Summary provides a break up for each module</t>
  </si>
  <si>
    <t>Define the Effort Break-up % across SDLC phases of project for the total efforts estimated and review the effort break-up</t>
  </si>
  <si>
    <t>Steps</t>
  </si>
  <si>
    <r>
      <rPr>
        <b/>
        <sz val="10"/>
        <rFont val="Google Sans"/>
        <family val="2"/>
      </rPr>
      <t>Step 1</t>
    </r>
    <r>
      <rPr>
        <sz val="10"/>
        <rFont val="Google Sans"/>
        <family val="2"/>
      </rPr>
      <t>:</t>
    </r>
    <r>
      <rPr>
        <b/>
        <sz val="10"/>
        <rFont val="Google Sans"/>
        <family val="2"/>
      </rPr>
      <t xml:space="preserve"> </t>
    </r>
    <r>
      <rPr>
        <sz val="10"/>
        <rFont val="Google Sans"/>
        <family val="2"/>
      </rPr>
      <t>Generate Estimation summary by clicking the "Generate Summary" button</t>
    </r>
  </si>
  <si>
    <r>
      <rPr>
        <b/>
        <sz val="10"/>
        <rFont val="Google Sans"/>
        <family val="2"/>
      </rPr>
      <t>Step 1:</t>
    </r>
    <r>
      <rPr>
        <sz val="10"/>
        <rFont val="Google Sans"/>
        <family val="2"/>
      </rPr>
      <t xml:space="preserve"> Define the % effort break up across all testing phases
</t>
    </r>
    <r>
      <rPr>
        <b/>
        <sz val="10"/>
        <rFont val="Google Sans"/>
        <family val="2"/>
      </rPr>
      <t xml:space="preserve">Step 2: </t>
    </r>
    <r>
      <rPr>
        <sz val="10"/>
        <rFont val="Google Sans"/>
        <family val="2"/>
      </rPr>
      <t>Click on Review Effort break-up to calculate the total efforts generated if there are multiple SIT mock cycles</t>
    </r>
  </si>
  <si>
    <t>Definitions for Client Complexity</t>
  </si>
  <si>
    <t>Defines differing levels of client complexity for project input and validation points.</t>
  </si>
  <si>
    <t>Definitions</t>
  </si>
  <si>
    <t>Simple (S)</t>
  </si>
  <si>
    <t>Medium (M)</t>
  </si>
  <si>
    <t xml:space="preserve">Complex (C) </t>
  </si>
  <si>
    <t>Transformation Logic</t>
  </si>
  <si>
    <t>No of fields in an object is less than 20 and % of Transformations is less than 35% or no transformations
1-1 Validation
Straight pull of data</t>
  </si>
  <si>
    <t xml:space="preserve">No of fields in an object is greater than 20 and less than 40 and percentage of transformations is between 35% to 70%
25% of fields have Concatenation, Truncation ,medium Complex If Else Rules. Result in addition of min 2 positive, 2 negative validation for each
(for 30% test cases that will have positive and negative. Therefore the calculation is 70+30+30 for total effort)
</t>
  </si>
  <si>
    <t>No of fields in an object is greater than 40 and percentage of transformations is greater than 70%
40% of fields have Concatenation, Truncation ,Complex If Else Rules, External Lookups. Result in addition of min 2 positive, 2 negative validation for each</t>
  </si>
  <si>
    <t>x`</t>
  </si>
  <si>
    <t>Effort in Hr(s) for Validating 1 field</t>
  </si>
  <si>
    <t>UI Complexity</t>
  </si>
  <si>
    <t>Simple Intutive UI, Simple Valdiations, No Transactions done on UI fields
No of Data Steward flows &lt;=2</t>
  </si>
  <si>
    <t>Simple Transactions/Updates on 20% of fields(2 test cases)
No of Data Steward flows &gt;2 and &lt;=4</t>
  </si>
  <si>
    <t>Multipe transactions(updates and Logic) on 40% of fields(3-4 Test cases)
No of Data Steward flows &gt;4</t>
  </si>
  <si>
    <t>IDQ Rule Complexity</t>
  </si>
  <si>
    <t>Simple Rule having less than 2 conditions in a rule</t>
  </si>
  <si>
    <t>Rule having 3-5 conditions</t>
  </si>
  <si>
    <t>Rule having more than 5 conditions</t>
  </si>
  <si>
    <t>Effort in Hr(s) for Validating 1 condition</t>
  </si>
  <si>
    <t>MDM Rule Complexity</t>
  </si>
  <si>
    <t>Simple Rule having less than 2 conditions in a rule
These validations are on UI side. Time is spent on Data preparation &amp; load as well</t>
  </si>
  <si>
    <t>Rule having 3-5 conditions
1 Rule with ~ 2 Combinations/Validation points
These validations are on UI side. Time is spent on Data preparation &amp; load as well</t>
  </si>
  <si>
    <t>Rule having more than 5 conditions
1 Rule with ~3 Validation points(2 test case per valdiation point)
These validations are on UI side. Time is spent on Data preparation &amp; load as well</t>
  </si>
  <si>
    <t>No</t>
  </si>
  <si>
    <t>Yes</t>
  </si>
  <si>
    <t>External Lookup</t>
  </si>
  <si>
    <t>If the ETL transformation has No Lookup</t>
  </si>
  <si>
    <t>20% of fields have external lookups. An average of 2 validations get added per field</t>
  </si>
  <si>
    <r>
      <t xml:space="preserve">Discovery estimation for MDM . This Estimation tool is designed for testing estimation work for MDM projects  for a waterfall project and can be done at any single time. 
</t>
    </r>
    <r>
      <rPr>
        <b/>
        <sz val="10"/>
        <rFont val="Verdana"/>
        <family val="2"/>
      </rPr>
      <t>Step 1:</t>
    </r>
    <r>
      <rPr>
        <sz val="10"/>
        <rFont val="Verdana"/>
        <family val="2"/>
      </rPr>
      <t xml:space="preserve"> Define the duration and start date for discovery and Enter the No. of SIT Test mock cycles that are in scope
</t>
    </r>
    <r>
      <rPr>
        <b/>
        <sz val="10"/>
        <rFont val="Verdana"/>
        <family val="2"/>
      </rPr>
      <t>Step 2:</t>
    </r>
    <r>
      <rPr>
        <sz val="10"/>
        <rFont val="Verdana"/>
        <family val="2"/>
      </rPr>
      <t xml:space="preserve"> Define and Review the phases that are in scope
</t>
    </r>
    <r>
      <rPr>
        <b/>
        <sz val="10"/>
        <rFont val="Verdana"/>
        <family val="2"/>
      </rPr>
      <t>Step 3:</t>
    </r>
    <r>
      <rPr>
        <sz val="10"/>
        <rFont val="Verdana"/>
        <family val="2"/>
      </rPr>
      <t xml:space="preserve"> Based on the in scope task selection, determine which full time resources (Deloitte and Client) will be required
</t>
    </r>
  </si>
  <si>
    <t>Step 1: Define Duration and SIT Test Cycles</t>
  </si>
  <si>
    <t>Number of Weeks in Discovery</t>
  </si>
  <si>
    <t>Discovery Start Date (MM/DD/YYYY)</t>
  </si>
  <si>
    <t>Discovery End Date</t>
  </si>
  <si>
    <t>No of SIT Test Cycles</t>
  </si>
  <si>
    <t>Step 2: Define Scope</t>
  </si>
  <si>
    <r>
      <rPr>
        <b/>
        <sz val="10"/>
        <rFont val="Verdana"/>
        <family val="2"/>
      </rPr>
      <t xml:space="preserve">Step 1: </t>
    </r>
    <r>
      <rPr>
        <sz val="10"/>
        <rFont val="Verdana"/>
        <family val="2"/>
      </rPr>
      <t xml:space="preserve">Mark each modules that is in scope with a "Y" to set overall scope for discovery. 
</t>
    </r>
    <r>
      <rPr>
        <b/>
        <sz val="10"/>
        <rFont val="Verdana"/>
        <family val="2"/>
      </rPr>
      <t>Step 2:</t>
    </r>
    <r>
      <rPr>
        <sz val="10"/>
        <rFont val="Verdana"/>
        <family val="2"/>
      </rPr>
      <t xml:space="preserve"> Input the estimated number of Objects/Interface/Requirements/Rules
</t>
    </r>
    <r>
      <rPr>
        <b/>
        <sz val="10"/>
        <rFont val="Verdana"/>
        <family val="2"/>
      </rPr>
      <t>Step 3:</t>
    </r>
    <r>
      <rPr>
        <sz val="10"/>
        <rFont val="Verdana"/>
        <family val="2"/>
      </rPr>
      <t xml:space="preserve"> Click on Data Entry</t>
    </r>
  </si>
  <si>
    <t>Modules</t>
  </si>
  <si>
    <t>Estimation Source</t>
  </si>
  <si>
    <t>Scope Indicator</t>
  </si>
  <si>
    <t>ETL (Informatica Power Center) : Pre-Landing to Landing Tables</t>
  </si>
  <si>
    <t>Interfaces/Objects</t>
  </si>
  <si>
    <t>Y</t>
  </si>
  <si>
    <t xml:space="preserve">ETL (Informatica PowerCenter/Informatica DQ) Landing to Staging </t>
  </si>
  <si>
    <t>N</t>
  </si>
  <si>
    <t>Data Quality (IDQ): Standardization (Name, Address, PhoneNo., email, other fields)</t>
  </si>
  <si>
    <t>Standardization/Cleansing Rules/Lookups</t>
  </si>
  <si>
    <t>ETL/MDM - Enrichment Calls</t>
  </si>
  <si>
    <t>Source: Web : ETL Transformation</t>
  </si>
  <si>
    <t>Source: Static Files : ETL Transformations</t>
  </si>
  <si>
    <t>Source: External : ETL Transformations</t>
  </si>
  <si>
    <t>Source: XML</t>
  </si>
  <si>
    <t>ETL (Informatica Power Center) : Match and Merge Rules</t>
  </si>
  <si>
    <t>M&amp;M/Fuzzy/Hierarchy Rules</t>
  </si>
  <si>
    <t>MDM Hub : Landing to Staging Tables</t>
  </si>
  <si>
    <t>MDM Hub : Staging to Base Object Tables</t>
  </si>
  <si>
    <t xml:space="preserve">MDM Hub : Match and Merge </t>
  </si>
  <si>
    <t>MDM Hub: Trust and Validation Rules(Ex Survivorship Rules)</t>
  </si>
  <si>
    <t>MDM Hub - Trust &amp; Decay</t>
  </si>
  <si>
    <t xml:space="preserve">MDM  Hub : Fuzzy Logic </t>
  </si>
  <si>
    <t>MDM Hub Look Ups and Rules</t>
  </si>
  <si>
    <t>IDD: Hierarchy</t>
  </si>
  <si>
    <t>IDD : Manual Merge and Unmerge</t>
  </si>
  <si>
    <t>Outbound : Outbound Transformation Batch</t>
  </si>
  <si>
    <t>Outbound : Outbound Transformation Real Time</t>
  </si>
  <si>
    <t>Data Steward Functionality</t>
  </si>
  <si>
    <t>Downstream UI</t>
  </si>
  <si>
    <t>DQ Dashboards</t>
  </si>
  <si>
    <t xml:space="preserve">MDM Roles Privileges </t>
  </si>
  <si>
    <t>IDD: Governance</t>
  </si>
  <si>
    <t>Step 3: Define Resource Plan</t>
  </si>
  <si>
    <t>WIP. This feature is yet to be implemented to calculate the hours by resources</t>
  </si>
  <si>
    <t>Role</t>
  </si>
  <si>
    <t>No of Resources</t>
  </si>
  <si>
    <t>Test Lead</t>
  </si>
  <si>
    <t>Data Testing Analyst</t>
  </si>
  <si>
    <t>Data Testing Architect</t>
  </si>
  <si>
    <t>Data Migration Test Analyst</t>
  </si>
  <si>
    <t>Data Migration Expert Tester</t>
  </si>
  <si>
    <t>MDM Expert Tester</t>
  </si>
  <si>
    <t>Data Migration Tester</t>
  </si>
  <si>
    <t>MDM Tester</t>
  </si>
  <si>
    <t>Placeholder 1</t>
  </si>
  <si>
    <t>Placeholder 2</t>
  </si>
  <si>
    <t>Data Inputs</t>
  </si>
  <si>
    <t>Captures project details that are used to make decisions regarding hours estimations</t>
  </si>
  <si>
    <t>Object Name</t>
  </si>
  <si>
    <t>No of Fields/Conditions/Flows</t>
  </si>
  <si>
    <t>% of Transformations</t>
  </si>
  <si>
    <t>External Lookups (Y/N)</t>
  </si>
  <si>
    <t>Complexity</t>
  </si>
  <si>
    <t># of Hours</t>
  </si>
  <si>
    <t>Mark for Delete ( Change in Scope)</t>
  </si>
  <si>
    <t>Specify the Interface Name/ Report Name/ Rule Name</t>
  </si>
  <si>
    <t>Specify the "No of fields" if its an ETL Transformation. "No of conditions" if it’s a Rule. "No of DS flows" if it’s a UI Validation</t>
  </si>
  <si>
    <t>% of transformations is determine by the number of fields getting transformed from total number of fields in an object</t>
  </si>
  <si>
    <t>Specify if there is an External Lookup for ETL transformation</t>
  </si>
  <si>
    <t>This column is auto populated based on No of fields and % of transformations defined.</t>
  </si>
  <si>
    <t>This column is Auto calculated and populated based on the complexity defined</t>
  </si>
  <si>
    <t xml:space="preserve">Mark the row as "Y" if the added interface is not in scope </t>
  </si>
  <si>
    <t>Interface1</t>
  </si>
  <si>
    <t>Simple</t>
  </si>
  <si>
    <t>Interface2</t>
  </si>
  <si>
    <t>Medium</t>
  </si>
  <si>
    <t>Interface3</t>
  </si>
  <si>
    <t>Complex</t>
  </si>
  <si>
    <t>Rule1</t>
  </si>
  <si>
    <t>NA</t>
  </si>
  <si>
    <t>Rule2</t>
  </si>
  <si>
    <t>Rule3</t>
  </si>
  <si>
    <t>Rule4</t>
  </si>
  <si>
    <t>Estimation Summary</t>
  </si>
  <si>
    <t>Captures high level estimation summary rolled up by the modules</t>
  </si>
  <si>
    <t>% of Efforts</t>
  </si>
  <si>
    <t>Totals</t>
  </si>
  <si>
    <t>SIT Efforts</t>
  </si>
  <si>
    <t>Grand Totals</t>
  </si>
  <si>
    <t>Benchmarks for Testing Plan and Integration Testing</t>
  </si>
  <si>
    <t>Defines Scope, Testing Plan, SIT, UAT and cutover and provides benchmarks for the same</t>
  </si>
  <si>
    <t>Phases</t>
  </si>
  <si>
    <t>% of Effort</t>
  </si>
  <si>
    <t>No of Hours</t>
  </si>
  <si>
    <t>Calculation(s)</t>
  </si>
  <si>
    <t>Start Date</t>
  </si>
  <si>
    <t>End Date</t>
  </si>
  <si>
    <t># of resources needed</t>
  </si>
  <si>
    <t>Requirements Understanding</t>
  </si>
  <si>
    <t>% of Effort of SIT (Cycle 1) Efforts</t>
  </si>
  <si>
    <t>Testing Support Activities</t>
  </si>
  <si>
    <t>Test Plan and Test Strategy</t>
  </si>
  <si>
    <t>UAT</t>
  </si>
  <si>
    <t>SIT ( Cycle 1) Efforts</t>
  </si>
  <si>
    <t>Total test design and test execution for 1 SIT cycle</t>
  </si>
  <si>
    <t>Cutover</t>
  </si>
  <si>
    <t>Test Scenario and Test Case Design</t>
  </si>
  <si>
    <t>Hypercare</t>
  </si>
  <si>
    <t>Reviews</t>
  </si>
  <si>
    <t>Management Support</t>
  </si>
  <si>
    <t>Data Prep, Smoke Test , Execution</t>
  </si>
  <si>
    <t>Totals (hrs)</t>
  </si>
  <si>
    <t>E2E Planning and Execution</t>
  </si>
  <si>
    <t>Additional Mock SIT Cycles</t>
  </si>
  <si>
    <t>Total execution efforts for additional mock cycles</t>
  </si>
  <si>
    <t>SIT Cycle 2</t>
  </si>
  <si>
    <t>% of Effort of SIT (Cycle 1) Execution Efforts</t>
  </si>
  <si>
    <t>SIT Cycle 3</t>
  </si>
  <si>
    <t>SIT Cycle 4</t>
  </si>
  <si>
    <t>Grand Totals including support activities (hrs)</t>
  </si>
  <si>
    <t xml:space="preserve"> Post clicking on Data Entry from "Define Scope" sheet, the rows are created based on the values provided in Step 2 from "Define scope" . This enables the user to enter the respective inputs for each and every module which is in scope. Once User entries are completed after clicking on "Determine complexity" button this will auto calculate the complexities as Simple, Medium and Complex based on the user inputs and determines the number of hours
</t>
  </si>
  <si>
    <r>
      <rPr>
        <b/>
        <sz val="10"/>
        <rFont val="Google Sans"/>
        <family val="2"/>
      </rPr>
      <t>Step 1</t>
    </r>
    <r>
      <rPr>
        <sz val="10"/>
        <rFont val="Google Sans"/>
        <family val="2"/>
      </rPr>
      <t xml:space="preserve">. Review Complexity definitions which are predefined for all different phases of  by clicking on "Define Complexity" button on this Page
</t>
    </r>
    <r>
      <rPr>
        <b/>
        <sz val="10"/>
        <rFont val="Google Sans"/>
        <family val="2"/>
      </rPr>
      <t>Step 2.</t>
    </r>
    <r>
      <rPr>
        <sz val="10"/>
        <rFont val="Google Sans"/>
        <family val="2"/>
      </rPr>
      <t xml:space="preserve">  Multiplier Value can be updated any time if it needs to be revised
Note: This tool also supports the flexibility of adding a new definition and defining the multiplier values.</t>
    </r>
  </si>
  <si>
    <r>
      <rPr>
        <b/>
        <sz val="10"/>
        <rFont val="Google Sans"/>
        <family val="2"/>
      </rPr>
      <t>Step 1:</t>
    </r>
    <r>
      <rPr>
        <sz val="10"/>
        <rFont val="Google Sans"/>
        <family val="2"/>
      </rPr>
      <t xml:space="preserve"> Define the duration and start date for discovery
</t>
    </r>
    <r>
      <rPr>
        <b/>
        <sz val="10"/>
        <rFont val="Google Sans"/>
        <family val="2"/>
      </rPr>
      <t>Step 2:</t>
    </r>
    <r>
      <rPr>
        <sz val="10"/>
        <rFont val="Google Sans"/>
        <family val="2"/>
      </rPr>
      <t xml:space="preserve"> Define and Review the phases that are in scope
1. Mark "Y" which are in scope
2. Enter the Number of objects/interfaces/requirements/rules based on the modules that are in scope
for e.g. if the Module is ETL transformation - provide the number of Interfaces/objects/tables that will be validated
if the Module is Rules - provide the number of rules that are defined in requirement which will be validated
</t>
    </r>
    <r>
      <rPr>
        <b/>
        <sz val="10"/>
        <rFont val="Google Sans"/>
        <family val="2"/>
      </rPr>
      <t>Step 3:</t>
    </r>
    <r>
      <rPr>
        <sz val="10"/>
        <rFont val="Google Sans"/>
        <family val="2"/>
      </rPr>
      <t xml:space="preserve"> Based on the in scope task selection, determine which full time resources (Deloitte and Client) will be required
Step 4: Click on Data Entry</t>
    </r>
  </si>
  <si>
    <r>
      <rPr>
        <b/>
        <sz val="10"/>
        <rFont val="Google Sans"/>
        <family val="2"/>
      </rPr>
      <t>Step 1:</t>
    </r>
    <r>
      <rPr>
        <sz val="10"/>
        <rFont val="Google Sans"/>
        <family val="2"/>
      </rPr>
      <t xml:space="preserve"> Review the modules and number of rows which are created automatically as defined in scope
</t>
    </r>
    <r>
      <rPr>
        <b/>
        <sz val="10"/>
        <rFont val="Google Sans"/>
        <family val="2"/>
      </rPr>
      <t>Step 2:</t>
    </r>
    <r>
      <rPr>
        <sz val="10"/>
        <rFont val="Google Sans"/>
        <family val="2"/>
      </rPr>
      <t xml:space="preserve"> User Inputs the respective fields
a) No of Fields/Conditions  - Enter no of fields if the module is ETL transformation type and no of conditions in a Rule if its an IDQ rule type 
b) % of Transformations - Enter the % of transformations if the module is ETL transformation type. for e.g. if 5 out of 10 fields in an object is undergoing data transformation the value entered will be 50%
c) External Lookups (Y/N) - Enter this field as "Y" in case of ETL transformation if there are any external lookup references used while developing the validation queries when there is join conditions with external tables. if there is no external Lookup enter this field as "N". This is required field to be filled in
</t>
    </r>
    <r>
      <rPr>
        <b/>
        <sz val="10"/>
        <rFont val="Google Sans"/>
        <family val="2"/>
      </rPr>
      <t>Step 3:</t>
    </r>
    <r>
      <rPr>
        <sz val="10"/>
        <rFont val="Google Sans"/>
        <family val="2"/>
      </rPr>
      <t xml:space="preserve"> Click on Determine Complexity button on top of the header on this sheet</t>
    </r>
  </si>
  <si>
    <t>No of Interfaces /Objects/ Requirements</t>
  </si>
  <si>
    <t>Data Quality (IDQ): Standardization (Name, Address, Phone No., email, other fields)</t>
  </si>
  <si>
    <t>Placeholder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</si>
</sst>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
  </numFmts>
  <fonts count="30" x14ac:knownFonts="1">
    <font>
      <sz val="11"/>
      <color theme="1"/>
      <name val="Calibri"/>
      <family val="2"/>
      <scheme val="minor"/>
    </font>
    <font>
      <sz val="11"/>
      <color theme="1"/>
      <name val="Calibri"/>
      <family val="2"/>
      <scheme val="minor"/>
    </font>
    <font>
      <b/>
      <sz val="22"/>
      <color theme="0"/>
      <name val="Verdana"/>
      <family val="2"/>
    </font>
    <font>
      <b/>
      <sz val="22"/>
      <color rgb="FF92D050"/>
      <name val="Verdana"/>
      <family val="2"/>
    </font>
    <font>
      <sz val="10"/>
      <name val="Arial"/>
      <family val="2"/>
    </font>
    <font>
      <sz val="11"/>
      <color theme="1"/>
      <name val="Verdana"/>
      <family val="2"/>
    </font>
    <font>
      <sz val="10"/>
      <color theme="1"/>
      <name val="Verdana"/>
      <family val="2"/>
    </font>
    <font>
      <b/>
      <sz val="10"/>
      <name val="Verdana"/>
      <family val="2"/>
    </font>
    <font>
      <b/>
      <sz val="10"/>
      <color theme="0"/>
      <name val="Verdana"/>
      <family val="2"/>
    </font>
    <font>
      <sz val="10"/>
      <name val="Verdana"/>
      <family val="2"/>
    </font>
    <font>
      <sz val="11"/>
      <name val="Calibri"/>
      <family val="2"/>
      <scheme val="minor"/>
    </font>
    <font>
      <b/>
      <sz val="12"/>
      <color theme="0"/>
      <name val="Verdana"/>
      <family val="2"/>
    </font>
    <font>
      <b/>
      <sz val="10"/>
      <color theme="1"/>
      <name val="Verdana"/>
      <family val="2"/>
    </font>
    <font>
      <u/>
      <sz val="11"/>
      <color theme="10"/>
      <name val="Calibri"/>
      <family val="2"/>
      <scheme val="minor"/>
    </font>
    <font>
      <b/>
      <sz val="10"/>
      <color rgb="FFFFFFFF"/>
      <name val="Verdana"/>
      <family val="2"/>
    </font>
    <font>
      <sz val="10"/>
      <color rgb="FF002776"/>
      <name val="Verdana"/>
      <family val="2"/>
    </font>
    <font>
      <b/>
      <sz val="16"/>
      <color rgb="FF002776"/>
      <name val="Verdana"/>
      <family val="2"/>
    </font>
    <font>
      <i/>
      <sz val="6"/>
      <name val="Verdana"/>
      <family val="2"/>
    </font>
    <font>
      <sz val="11"/>
      <color theme="1"/>
      <name val="Google Sans"/>
      <family val="2"/>
    </font>
    <font>
      <b/>
      <sz val="22"/>
      <color theme="0"/>
      <name val="Google Sans"/>
      <family val="2"/>
    </font>
    <font>
      <sz val="10"/>
      <name val="Google Sans"/>
      <family val="2"/>
    </font>
    <font>
      <b/>
      <sz val="10"/>
      <color theme="0"/>
      <name val="Google Sans"/>
      <family val="2"/>
    </font>
    <font>
      <sz val="10"/>
      <color theme="1"/>
      <name val="Google Sans"/>
      <family val="2"/>
    </font>
    <font>
      <b/>
      <sz val="10"/>
      <name val="Google Sans"/>
      <family val="2"/>
    </font>
    <font>
      <b/>
      <sz val="16"/>
      <name val="Google Sans"/>
      <family val="2"/>
    </font>
    <font>
      <sz val="9"/>
      <color theme="1"/>
      <name val="Verdana"/>
      <family val="2"/>
    </font>
    <font>
      <sz val="10"/>
      <name val="Google Sans"/>
      <family val="2"/>
    </font>
    <font>
      <b/>
      <sz val="10"/>
      <color theme="1"/>
      <name val="Google Sans"/>
      <family val="2"/>
    </font>
    <font>
      <b/>
      <sz val="10"/>
      <color theme="8"/>
      <name val="Google Sans"/>
      <family val="2"/>
    </font>
    <font>
      <i/>
      <sz val="8"/>
      <color theme="1"/>
      <name val="Verdana"/>
      <family val="2"/>
    </font>
  </fonts>
  <fills count="28">
    <fill>
      <patternFill patternType="none"/>
    </fill>
    <fill>
      <patternFill patternType="gray125"/>
    </fill>
    <fill>
      <patternFill patternType="solid">
        <fgColor theme="1"/>
        <bgColor indexed="64"/>
      </patternFill>
    </fill>
    <fill>
      <patternFill patternType="solid">
        <fgColor rgb="FF99CC33"/>
        <bgColor indexed="64"/>
      </patternFill>
    </fill>
    <fill>
      <patternFill patternType="solid">
        <fgColor theme="0"/>
        <bgColor indexed="64"/>
      </patternFill>
    </fill>
    <fill>
      <patternFill patternType="solid">
        <fgColor theme="4" tint="0.79998168889431442"/>
        <bgColor indexed="64"/>
      </patternFill>
    </fill>
    <fill>
      <patternFill patternType="solid">
        <fgColor rgb="FF92D050"/>
        <bgColor indexed="64"/>
      </patternFill>
    </fill>
    <fill>
      <patternFill patternType="solid">
        <fgColor theme="8" tint="0.39997558519241921"/>
        <bgColor indexed="64"/>
      </patternFill>
    </fill>
    <fill>
      <patternFill patternType="solid">
        <fgColor rgb="FF002060"/>
        <bgColor indexed="64"/>
      </patternFill>
    </fill>
    <fill>
      <patternFill patternType="solid">
        <fgColor theme="7"/>
        <bgColor indexed="64"/>
      </patternFill>
    </fill>
    <fill>
      <patternFill patternType="solid">
        <fgColor theme="2"/>
        <bgColor indexed="64"/>
      </patternFill>
    </fill>
    <fill>
      <patternFill patternType="solid">
        <fgColor rgb="FF70AD47"/>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rgb="FF00B0F0"/>
        <bgColor indexed="64"/>
      </patternFill>
    </fill>
    <fill>
      <patternFill patternType="solid">
        <fgColor rgb="FFFFC000"/>
        <bgColor indexed="64"/>
      </patternFill>
    </fill>
    <fill>
      <patternFill patternType="solid">
        <fgColor theme="9" tint="0.79998168889431442"/>
        <bgColor indexed="64"/>
      </patternFill>
    </fill>
    <fill>
      <patternFill patternType="solid">
        <fgColor rgb="FF002776"/>
        <bgColor rgb="FF000000"/>
      </patternFill>
    </fill>
    <fill>
      <patternFill patternType="solid">
        <fgColor rgb="FFE2F3FA"/>
        <bgColor rgb="FF000000"/>
      </patternFill>
    </fill>
    <fill>
      <patternFill patternType="solid">
        <fgColor rgb="FFF5F5F5"/>
        <bgColor rgb="FF000000"/>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9"/>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79995117038483843"/>
        <bgColor indexed="64"/>
      </patternFill>
    </fill>
    <fill>
      <patternFill patternType="solid">
        <fgColor theme="7" tint="0.59999389629810485"/>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theme="0"/>
      </left>
      <right style="thin">
        <color indexed="64"/>
      </right>
      <top style="thin">
        <color theme="0"/>
      </top>
      <bottom style="thin">
        <color indexed="64"/>
      </bottom>
      <diagonal/>
    </border>
    <border>
      <left style="thin">
        <color indexed="64"/>
      </left>
      <right style="thin">
        <color indexed="64"/>
      </right>
      <top style="thin">
        <color theme="0"/>
      </top>
      <bottom style="thin">
        <color indexed="64"/>
      </bottom>
      <diagonal/>
    </border>
    <border>
      <left style="thin">
        <color indexed="64"/>
      </left>
      <right style="thin">
        <color theme="0"/>
      </right>
      <top style="thin">
        <color theme="0"/>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style="thin">
        <color indexed="64"/>
      </bottom>
      <diagonal/>
    </border>
    <border>
      <left style="thin">
        <color theme="0"/>
      </left>
      <right style="thin">
        <color indexed="64"/>
      </right>
      <top style="thin">
        <color indexed="64"/>
      </top>
      <bottom style="thin">
        <color theme="0"/>
      </bottom>
      <diagonal/>
    </border>
    <border>
      <left style="thin">
        <color indexed="64"/>
      </left>
      <right style="thin">
        <color indexed="64"/>
      </right>
      <top style="thin">
        <color indexed="64"/>
      </top>
      <bottom style="thin">
        <color theme="0"/>
      </bottom>
      <diagonal/>
    </border>
    <border>
      <left style="thin">
        <color indexed="64"/>
      </left>
      <right style="thin">
        <color theme="0"/>
      </right>
      <top style="thin">
        <color indexed="64"/>
      </top>
      <bottom style="thin">
        <color theme="0"/>
      </bottom>
      <diagonal/>
    </border>
    <border>
      <left style="thin">
        <color theme="0"/>
      </left>
      <right/>
      <top style="thin">
        <color theme="0"/>
      </top>
      <bottom/>
      <diagonal/>
    </border>
    <border>
      <left style="hair">
        <color theme="3"/>
      </left>
      <right/>
      <top style="thin">
        <color theme="0"/>
      </top>
      <bottom style="hair">
        <color theme="3"/>
      </bottom>
      <diagonal/>
    </border>
    <border>
      <left/>
      <right style="hair">
        <color theme="3"/>
      </right>
      <top style="thin">
        <color theme="0"/>
      </top>
      <bottom style="hair">
        <color theme="3"/>
      </bottom>
      <diagonal/>
    </border>
    <border>
      <left/>
      <right style="thin">
        <color theme="0"/>
      </right>
      <top style="thin">
        <color theme="0"/>
      </top>
      <bottom style="hair">
        <color theme="3"/>
      </bottom>
      <diagonal/>
    </border>
    <border>
      <left style="hair">
        <color theme="3"/>
      </left>
      <right/>
      <top style="hair">
        <color theme="3"/>
      </top>
      <bottom style="thin">
        <color theme="0"/>
      </bottom>
      <diagonal/>
    </border>
    <border>
      <left/>
      <right style="hair">
        <color theme="3"/>
      </right>
      <top style="hair">
        <color theme="3"/>
      </top>
      <bottom style="thin">
        <color theme="0"/>
      </bottom>
      <diagonal/>
    </border>
    <border>
      <left/>
      <right style="thin">
        <color theme="0"/>
      </right>
      <top style="hair">
        <color theme="3"/>
      </top>
      <bottom style="thin">
        <color theme="0"/>
      </bottom>
      <diagonal/>
    </border>
    <border>
      <left style="thin">
        <color theme="0"/>
      </left>
      <right/>
      <top style="thin">
        <color theme="0"/>
      </top>
      <bottom style="thin">
        <color theme="1" tint="0.499984740745262"/>
      </bottom>
      <diagonal/>
    </border>
    <border>
      <left/>
      <right style="thin">
        <color theme="0"/>
      </right>
      <top style="thin">
        <color theme="0"/>
      </top>
      <bottom style="thin">
        <color theme="1" tint="0.499984740745262"/>
      </bottom>
      <diagonal/>
    </border>
    <border>
      <left style="thin">
        <color theme="0"/>
      </left>
      <right style="thin">
        <color theme="1" tint="0.499984740745262"/>
      </right>
      <top style="thin">
        <color theme="1" tint="0.499984740745262"/>
      </top>
      <bottom style="thin">
        <color theme="1" tint="0.499984740745262"/>
      </bottom>
      <diagonal/>
    </border>
    <border>
      <left style="thin">
        <color theme="1" tint="0.499984740745262"/>
      </left>
      <right style="thin">
        <color theme="0"/>
      </right>
      <top style="thin">
        <color theme="1" tint="0.499984740745262"/>
      </top>
      <bottom style="thin">
        <color theme="1" tint="0.499984740745262"/>
      </bottom>
      <diagonal/>
    </border>
    <border>
      <left style="thin">
        <color theme="0"/>
      </left>
      <right/>
      <top style="thin">
        <color theme="1" tint="0.499984740745262"/>
      </top>
      <bottom style="thin">
        <color theme="1" tint="0.499984740745262"/>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indexed="64"/>
      </left>
      <right style="thin">
        <color indexed="64"/>
      </right>
      <top/>
      <bottom/>
      <diagonal/>
    </border>
    <border>
      <left style="thin">
        <color rgb="FF808080"/>
      </left>
      <right style="thin">
        <color rgb="FF808080"/>
      </right>
      <top style="thin">
        <color rgb="FF808080"/>
      </top>
      <bottom style="thin">
        <color rgb="FF808080"/>
      </bottom>
      <diagonal/>
    </border>
    <border>
      <left style="thin">
        <color rgb="FF808080"/>
      </left>
      <right style="thin">
        <color indexed="64"/>
      </right>
      <top/>
      <bottom/>
      <diagonal/>
    </border>
    <border>
      <left style="thin">
        <color rgb="FF181818"/>
      </left>
      <right style="thin">
        <color rgb="FF181818"/>
      </right>
      <top style="thin">
        <color rgb="FF181818"/>
      </top>
      <bottom/>
      <diagonal/>
    </border>
    <border>
      <left style="dotted">
        <color indexed="64"/>
      </left>
      <right style="dotted">
        <color indexed="64"/>
      </right>
      <top style="dotted">
        <color indexed="64"/>
      </top>
      <bottom style="dotted">
        <color indexed="64"/>
      </bottom>
      <diagonal/>
    </border>
    <border>
      <left style="thin">
        <color rgb="FF808080"/>
      </left>
      <right style="thin">
        <color rgb="FF808080"/>
      </right>
      <top style="thin">
        <color rgb="FF808080"/>
      </top>
      <bottom/>
      <diagonal/>
    </border>
    <border>
      <left style="hair">
        <color indexed="64"/>
      </left>
      <right/>
      <top/>
      <bottom/>
      <diagonal/>
    </border>
    <border>
      <left style="thin">
        <color theme="1" tint="0.499984740745262"/>
      </left>
      <right style="thin">
        <color theme="0"/>
      </right>
      <top style="thin">
        <color theme="1" tint="0.499984740745262"/>
      </top>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right/>
      <top style="dotted">
        <color indexed="64"/>
      </top>
      <bottom style="dotted">
        <color indexed="64"/>
      </bottom>
      <diagonal/>
    </border>
  </borders>
  <cellStyleXfs count="8">
    <xf numFmtId="0" fontId="0" fillId="0" borderId="0"/>
    <xf numFmtId="0" fontId="1" fillId="0" borderId="0"/>
    <xf numFmtId="0" fontId="4" fillId="0" borderId="0">
      <alignment vertical="top"/>
    </xf>
    <xf numFmtId="0" fontId="4" fillId="0" borderId="0">
      <alignment vertical="top"/>
    </xf>
    <xf numFmtId="0" fontId="4" fillId="0" borderId="0"/>
    <xf numFmtId="0" fontId="13" fillId="0" borderId="0" applyNumberFormat="0" applyFill="0" applyBorder="0" applyAlignment="0" applyProtection="0"/>
    <xf numFmtId="0" fontId="4" fillId="0" borderId="0"/>
    <xf numFmtId="0" fontId="4" fillId="0" borderId="0"/>
  </cellStyleXfs>
  <cellXfs count="139">
    <xf numFmtId="0" fontId="0" fillId="0" borderId="0" xfId="0"/>
    <xf numFmtId="0" fontId="2" fillId="2" borderId="0" xfId="1" applyFont="1" applyFill="1" applyAlignment="1">
      <alignment vertical="center"/>
    </xf>
    <xf numFmtId="0" fontId="2" fillId="2" borderId="0" xfId="2" applyFont="1" applyFill="1" applyAlignment="1">
      <alignment vertical="center"/>
    </xf>
    <xf numFmtId="0" fontId="5" fillId="2" borderId="0" xfId="2" applyFont="1" applyFill="1" applyAlignment="1"/>
    <xf numFmtId="0" fontId="5" fillId="3" borderId="0" xfId="2" applyFont="1" applyFill="1" applyAlignment="1"/>
    <xf numFmtId="0" fontId="5" fillId="2" borderId="0" xfId="1" applyFont="1" applyFill="1"/>
    <xf numFmtId="0" fontId="5" fillId="6" borderId="0" xfId="1" applyFont="1" applyFill="1"/>
    <xf numFmtId="0" fontId="0" fillId="2" borderId="0" xfId="0" applyFill="1"/>
    <xf numFmtId="0" fontId="9" fillId="0" borderId="19" xfId="4" applyFont="1" applyBorder="1"/>
    <xf numFmtId="0" fontId="9" fillId="16" borderId="20" xfId="4" applyNumberFormat="1" applyFont="1" applyFill="1" applyBorder="1" applyAlignment="1">
      <alignment horizontal="center" vertical="center"/>
    </xf>
    <xf numFmtId="0" fontId="8" fillId="15" borderId="21" xfId="4" applyFont="1" applyFill="1" applyBorder="1" applyAlignment="1">
      <alignment horizontal="center" vertical="center" wrapText="1"/>
    </xf>
    <xf numFmtId="0" fontId="8" fillId="15" borderId="20" xfId="4" applyFont="1" applyFill="1" applyBorder="1" applyAlignment="1">
      <alignment horizontal="center" vertical="center" wrapText="1"/>
    </xf>
    <xf numFmtId="0" fontId="0" fillId="16" borderId="6" xfId="0" applyFill="1" applyBorder="1" applyAlignment="1">
      <alignment horizontal="center" vertical="center"/>
    </xf>
    <xf numFmtId="0" fontId="0" fillId="16" borderId="9" xfId="0" applyFill="1" applyBorder="1" applyAlignment="1">
      <alignment horizontal="center" vertical="center"/>
    </xf>
    <xf numFmtId="0" fontId="10" fillId="0" borderId="5" xfId="4" applyFont="1" applyBorder="1"/>
    <xf numFmtId="0" fontId="10" fillId="0" borderId="7" xfId="4" applyFont="1" applyBorder="1"/>
    <xf numFmtId="9" fontId="0" fillId="0" borderId="0" xfId="0" applyNumberFormat="1"/>
    <xf numFmtId="0" fontId="8" fillId="15" borderId="1" xfId="4" applyFont="1" applyFill="1" applyBorder="1" applyAlignment="1">
      <alignment horizontal="center" vertical="center" wrapText="1"/>
    </xf>
    <xf numFmtId="0" fontId="0" fillId="16" borderId="1" xfId="0" applyFill="1" applyBorder="1" applyAlignment="1">
      <alignment horizontal="center" vertical="center"/>
    </xf>
    <xf numFmtId="0" fontId="0" fillId="9" borderId="1" xfId="0" applyFill="1" applyBorder="1" applyAlignment="1">
      <alignment horizontal="center" vertical="center"/>
    </xf>
    <xf numFmtId="0" fontId="14" fillId="18" borderId="25" xfId="6" applyFont="1" applyFill="1" applyBorder="1" applyAlignment="1">
      <alignment horizontal="center" vertical="center" wrapText="1"/>
    </xf>
    <xf numFmtId="0" fontId="0" fillId="0" borderId="0" xfId="0" applyFill="1"/>
    <xf numFmtId="0" fontId="17" fillId="20" borderId="27" xfId="6" applyFont="1" applyFill="1" applyBorder="1" applyAlignment="1">
      <alignment horizontal="center" vertical="center" wrapText="1"/>
    </xf>
    <xf numFmtId="0" fontId="4" fillId="0" borderId="0" xfId="4"/>
    <xf numFmtId="0" fontId="9" fillId="0" borderId="0" xfId="4" applyFont="1" applyFill="1" applyBorder="1" applyAlignment="1">
      <alignment horizontal="center" vertical="center"/>
    </xf>
    <xf numFmtId="9" fontId="9" fillId="0" borderId="0" xfId="4" applyNumberFormat="1" applyFont="1" applyFill="1" applyBorder="1" applyAlignment="1">
      <alignment horizontal="center" vertical="center"/>
    </xf>
    <xf numFmtId="0" fontId="9" fillId="0" borderId="0" xfId="4" applyFont="1" applyFill="1" applyBorder="1"/>
    <xf numFmtId="9" fontId="9" fillId="0" borderId="0" xfId="4" applyNumberFormat="1" applyFont="1" applyFill="1" applyBorder="1"/>
    <xf numFmtId="0" fontId="0" fillId="0" borderId="0" xfId="0" applyFill="1" applyBorder="1"/>
    <xf numFmtId="0" fontId="14" fillId="18" borderId="29" xfId="6" applyFont="1" applyFill="1" applyBorder="1" applyAlignment="1">
      <alignment horizontal="center" vertical="center" wrapText="1"/>
    </xf>
    <xf numFmtId="0" fontId="9" fillId="21" borderId="28" xfId="0" applyFont="1" applyFill="1" applyBorder="1" applyAlignment="1">
      <alignment horizontal="center" vertical="center"/>
    </xf>
    <xf numFmtId="9" fontId="9" fillId="21" borderId="28" xfId="0" applyNumberFormat="1" applyFont="1" applyFill="1" applyBorder="1" applyAlignment="1">
      <alignment horizontal="center" vertical="center"/>
    </xf>
    <xf numFmtId="0" fontId="9" fillId="22" borderId="28" xfId="0" applyFont="1" applyFill="1" applyBorder="1" applyAlignment="1">
      <alignment horizontal="center" vertical="center"/>
    </xf>
    <xf numFmtId="9" fontId="9" fillId="22" borderId="28" xfId="0" applyNumberFormat="1" applyFont="1" applyFill="1" applyBorder="1" applyAlignment="1">
      <alignment horizontal="center" vertical="center"/>
    </xf>
    <xf numFmtId="0" fontId="9" fillId="23" borderId="28" xfId="0" applyFont="1" applyFill="1" applyBorder="1" applyAlignment="1">
      <alignment horizontal="center" vertical="center"/>
    </xf>
    <xf numFmtId="0" fontId="9" fillId="9" borderId="28" xfId="0" applyFont="1" applyFill="1" applyBorder="1" applyAlignment="1">
      <alignment horizontal="center" vertical="center"/>
    </xf>
    <xf numFmtId="0" fontId="18" fillId="2" borderId="0" xfId="0" applyFont="1" applyFill="1"/>
    <xf numFmtId="0" fontId="18" fillId="0" borderId="0" xfId="0" applyFont="1"/>
    <xf numFmtId="0" fontId="21" fillId="11" borderId="2" xfId="4" applyFont="1" applyFill="1" applyBorder="1" applyAlignment="1">
      <alignment horizontal="center" vertical="center"/>
    </xf>
    <xf numFmtId="0" fontId="21" fillId="11" borderId="7" xfId="4" applyFont="1" applyFill="1" applyBorder="1" applyAlignment="1">
      <alignment horizontal="center" vertical="center"/>
    </xf>
    <xf numFmtId="0" fontId="22" fillId="2" borderId="0" xfId="0" applyFont="1" applyFill="1"/>
    <xf numFmtId="0" fontId="22" fillId="2" borderId="0" xfId="1" applyFont="1" applyFill="1"/>
    <xf numFmtId="0" fontId="22" fillId="0" borderId="0" xfId="0" applyFont="1"/>
    <xf numFmtId="0" fontId="22" fillId="6" borderId="0" xfId="1" applyFont="1" applyFill="1"/>
    <xf numFmtId="0" fontId="20" fillId="2" borderId="0" xfId="0" applyFont="1" applyFill="1"/>
    <xf numFmtId="0" fontId="19" fillId="2" borderId="0" xfId="2" applyFont="1" applyFill="1" applyAlignment="1">
      <alignment vertical="center"/>
    </xf>
    <xf numFmtId="0" fontId="18" fillId="2" borderId="0" xfId="2" applyFont="1" applyFill="1" applyAlignment="1"/>
    <xf numFmtId="0" fontId="18" fillId="3" borderId="0" xfId="2" applyFont="1" applyFill="1" applyAlignment="1"/>
    <xf numFmtId="0" fontId="21" fillId="6" borderId="5" xfId="0" applyFont="1" applyFill="1" applyBorder="1" applyAlignment="1">
      <alignment horizontal="center" vertical="center" wrapText="1"/>
    </xf>
    <xf numFmtId="0" fontId="21" fillId="6" borderId="7" xfId="0" applyFont="1" applyFill="1" applyBorder="1" applyAlignment="1">
      <alignment horizontal="center" vertical="center" wrapText="1"/>
    </xf>
    <xf numFmtId="0" fontId="21" fillId="6" borderId="10" xfId="0" applyFont="1" applyFill="1" applyBorder="1" applyAlignment="1">
      <alignment horizontal="center" vertical="center" wrapText="1"/>
    </xf>
    <xf numFmtId="0" fontId="21" fillId="6" borderId="2" xfId="0" applyFont="1" applyFill="1" applyBorder="1" applyAlignment="1">
      <alignment horizontal="center" vertical="center" wrapText="1"/>
    </xf>
    <xf numFmtId="1" fontId="9" fillId="21" borderId="28" xfId="0" applyNumberFormat="1" applyFont="1" applyFill="1" applyBorder="1" applyAlignment="1">
      <alignment horizontal="center" vertical="center"/>
    </xf>
    <xf numFmtId="1" fontId="9" fillId="22" borderId="28" xfId="0" applyNumberFormat="1" applyFont="1" applyFill="1" applyBorder="1" applyAlignment="1">
      <alignment horizontal="center" vertical="center"/>
    </xf>
    <xf numFmtId="1" fontId="9" fillId="23" borderId="28" xfId="0" applyNumberFormat="1" applyFont="1" applyFill="1" applyBorder="1" applyAlignment="1">
      <alignment horizontal="center" vertical="center"/>
    </xf>
    <xf numFmtId="1" fontId="9" fillId="9" borderId="28" xfId="0" applyNumberFormat="1" applyFont="1" applyFill="1" applyBorder="1" applyAlignment="1">
      <alignment horizontal="center" vertical="center"/>
    </xf>
    <xf numFmtId="0" fontId="11" fillId="14" borderId="10" xfId="0" applyFont="1" applyFill="1" applyBorder="1" applyAlignment="1">
      <alignment vertical="center"/>
    </xf>
    <xf numFmtId="0" fontId="11" fillId="14" borderId="17" xfId="0" applyFont="1" applyFill="1" applyBorder="1" applyAlignment="1">
      <alignment vertical="center"/>
    </xf>
    <xf numFmtId="0" fontId="9" fillId="0" borderId="1" xfId="4" applyFont="1" applyBorder="1" applyAlignment="1">
      <alignment wrapText="1"/>
    </xf>
    <xf numFmtId="0" fontId="9" fillId="0" borderId="1" xfId="4" applyFont="1" applyBorder="1" applyAlignment="1">
      <alignment horizontal="left" wrapText="1"/>
    </xf>
    <xf numFmtId="0" fontId="9" fillId="0" borderId="21" xfId="4" applyFont="1" applyBorder="1"/>
    <xf numFmtId="14" fontId="9" fillId="16" borderId="31" xfId="4" applyNumberFormat="1" applyFont="1" applyFill="1" applyBorder="1" applyAlignment="1">
      <alignment horizontal="center" vertical="center"/>
    </xf>
    <xf numFmtId="14" fontId="9" fillId="0" borderId="1" xfId="4" applyNumberFormat="1" applyFont="1" applyBorder="1" applyAlignment="1">
      <alignment horizontal="center" vertical="center"/>
    </xf>
    <xf numFmtId="9" fontId="12" fillId="24" borderId="28" xfId="0" applyNumberFormat="1" applyFont="1" applyFill="1" applyBorder="1" applyAlignment="1">
      <alignment horizontal="center" vertical="center" wrapText="1"/>
    </xf>
    <xf numFmtId="1" fontId="12" fillId="24" borderId="28" xfId="0" applyNumberFormat="1" applyFont="1" applyFill="1" applyBorder="1" applyAlignment="1">
      <alignment horizontal="center" vertical="center"/>
    </xf>
    <xf numFmtId="2" fontId="12" fillId="24" borderId="28" xfId="0" applyNumberFormat="1" applyFont="1" applyFill="1" applyBorder="1" applyAlignment="1">
      <alignment horizontal="center" vertical="center" wrapText="1"/>
    </xf>
    <xf numFmtId="0" fontId="22" fillId="2" borderId="0" xfId="0" applyFont="1" applyFill="1" applyProtection="1"/>
    <xf numFmtId="0" fontId="27" fillId="0" borderId="0" xfId="0" applyFont="1" applyFill="1"/>
    <xf numFmtId="9" fontId="12" fillId="17" borderId="28" xfId="0" applyNumberFormat="1" applyFont="1" applyFill="1" applyBorder="1" applyAlignment="1">
      <alignment horizontal="center" vertical="center"/>
    </xf>
    <xf numFmtId="2" fontId="12" fillId="17" borderId="28" xfId="0" applyNumberFormat="1" applyFont="1" applyFill="1" applyBorder="1" applyAlignment="1">
      <alignment horizontal="center" vertical="center"/>
    </xf>
    <xf numFmtId="9" fontId="12" fillId="17" borderId="28" xfId="0" applyNumberFormat="1" applyFont="1" applyFill="1" applyBorder="1" applyAlignment="1">
      <alignment horizontal="center" vertical="center" wrapText="1"/>
    </xf>
    <xf numFmtId="2" fontId="29" fillId="4" borderId="28" xfId="0" applyNumberFormat="1" applyFont="1" applyFill="1" applyBorder="1" applyAlignment="1">
      <alignment horizontal="left"/>
    </xf>
    <xf numFmtId="0" fontId="12" fillId="24" borderId="28" xfId="0" applyFont="1" applyFill="1" applyBorder="1" applyAlignment="1">
      <alignment vertical="center" wrapText="1"/>
    </xf>
    <xf numFmtId="164" fontId="12" fillId="24" borderId="28" xfId="0" applyNumberFormat="1" applyFont="1" applyFill="1" applyBorder="1" applyAlignment="1">
      <alignment vertical="center" wrapText="1"/>
    </xf>
    <xf numFmtId="164" fontId="12" fillId="17" borderId="28" xfId="0" applyNumberFormat="1" applyFont="1" applyFill="1" applyBorder="1" applyAlignment="1">
      <alignment horizontal="center" vertical="center"/>
    </xf>
    <xf numFmtId="1" fontId="12" fillId="17" borderId="28" xfId="0" applyNumberFormat="1" applyFont="1" applyFill="1" applyBorder="1" applyAlignment="1">
      <alignment horizontal="center" vertical="center"/>
    </xf>
    <xf numFmtId="1" fontId="12" fillId="24" borderId="28" xfId="0" applyNumberFormat="1" applyFont="1" applyFill="1" applyBorder="1" applyAlignment="1">
      <alignment horizontal="center" vertical="center" wrapText="1"/>
    </xf>
    <xf numFmtId="164" fontId="12" fillId="24" borderId="28" xfId="0" applyNumberFormat="1" applyFont="1" applyFill="1" applyBorder="1" applyAlignment="1">
      <alignment horizontal="center" vertical="center"/>
    </xf>
    <xf numFmtId="2" fontId="29" fillId="4" borderId="0" xfId="0" applyNumberFormat="1" applyFont="1" applyFill="1" applyBorder="1" applyAlignment="1">
      <alignment horizontal="left"/>
    </xf>
    <xf numFmtId="0" fontId="14" fillId="18" borderId="26" xfId="6" applyFont="1" applyFill="1" applyBorder="1" applyAlignment="1">
      <alignment horizontal="center" vertical="center" wrapText="1"/>
    </xf>
    <xf numFmtId="0" fontId="14" fillId="18" borderId="24" xfId="6" applyFont="1" applyFill="1" applyBorder="1" applyAlignment="1">
      <alignment horizontal="center" vertical="center" wrapText="1"/>
    </xf>
    <xf numFmtId="0" fontId="15" fillId="19" borderId="0" xfId="7" applyFont="1" applyFill="1" applyBorder="1" applyAlignment="1">
      <alignment horizontal="center" vertical="center" wrapText="1"/>
    </xf>
    <xf numFmtId="0" fontId="12" fillId="24" borderId="28" xfId="0" applyFont="1" applyFill="1" applyBorder="1" applyAlignment="1">
      <alignment horizontal="center" vertical="center" wrapText="1"/>
    </xf>
    <xf numFmtId="0" fontId="12" fillId="25" borderId="28" xfId="0" applyFont="1" applyFill="1" applyBorder="1" applyAlignment="1">
      <alignment horizontal="center" vertical="center" wrapText="1"/>
    </xf>
    <xf numFmtId="0" fontId="9" fillId="21" borderId="28" xfId="6" applyFont="1" applyFill="1" applyBorder="1" applyAlignment="1">
      <alignment horizontal="center" vertical="center"/>
    </xf>
    <xf numFmtId="9" fontId="9" fillId="21" borderId="28" xfId="6" applyNumberFormat="1" applyFont="1" applyFill="1" applyBorder="1" applyAlignment="1">
      <alignment horizontal="center" vertical="center"/>
    </xf>
    <xf numFmtId="0" fontId="9" fillId="27" borderId="28" xfId="6" applyFont="1" applyFill="1" applyBorder="1" applyAlignment="1">
      <alignment horizontal="center" vertical="center"/>
    </xf>
    <xf numFmtId="0" fontId="21" fillId="6" borderId="0" xfId="1" applyFont="1" applyFill="1" applyAlignment="1">
      <alignment horizontal="center" vertical="center"/>
    </xf>
    <xf numFmtId="0" fontId="20" fillId="10" borderId="0" xfId="0" applyFont="1" applyFill="1" applyAlignment="1">
      <alignment horizontal="left" vertical="center" wrapText="1" readingOrder="1"/>
    </xf>
    <xf numFmtId="0" fontId="20" fillId="13" borderId="3" xfId="0" applyFont="1" applyFill="1" applyBorder="1" applyAlignment="1">
      <alignment horizontal="left" vertical="top" wrapText="1"/>
    </xf>
    <xf numFmtId="0" fontId="20" fillId="12" borderId="3" xfId="0" applyFont="1" applyFill="1" applyBorder="1" applyAlignment="1">
      <alignment horizontal="left" vertical="top" wrapText="1"/>
    </xf>
    <xf numFmtId="0" fontId="20" fillId="12" borderId="8" xfId="0" applyFont="1" applyFill="1" applyBorder="1" applyAlignment="1">
      <alignment horizontal="left" vertical="top" wrapText="1"/>
    </xf>
    <xf numFmtId="0" fontId="20" fillId="13" borderId="8" xfId="0" applyFont="1" applyFill="1" applyBorder="1" applyAlignment="1">
      <alignment horizontal="left" vertical="top" wrapText="1"/>
    </xf>
    <xf numFmtId="0" fontId="20" fillId="13" borderId="8" xfId="0" applyFont="1" applyFill="1" applyBorder="1" applyAlignment="1">
      <alignment horizontal="left" vertical="top"/>
    </xf>
    <xf numFmtId="0" fontId="26" fillId="13" borderId="8" xfId="0" applyFont="1" applyFill="1" applyBorder="1" applyAlignment="1" applyProtection="1">
      <alignment horizontal="left" vertical="top" wrapText="1"/>
    </xf>
    <xf numFmtId="0" fontId="20" fillId="13" borderId="8" xfId="0" applyFont="1" applyFill="1" applyBorder="1" applyAlignment="1" applyProtection="1">
      <alignment horizontal="left" vertical="top"/>
    </xf>
    <xf numFmtId="0" fontId="26" fillId="13" borderId="8" xfId="0" applyFont="1" applyFill="1" applyBorder="1" applyAlignment="1">
      <alignment horizontal="left" vertical="top" wrapText="1"/>
    </xf>
    <xf numFmtId="0" fontId="20" fillId="4" borderId="3" xfId="0" applyFont="1" applyFill="1" applyBorder="1" applyAlignment="1">
      <alignment horizontal="left" vertical="top" wrapText="1"/>
    </xf>
    <xf numFmtId="0" fontId="20" fillId="9" borderId="8" xfId="0" applyFont="1" applyFill="1" applyBorder="1" applyAlignment="1">
      <alignment horizontal="center" vertical="center" wrapText="1"/>
    </xf>
    <xf numFmtId="0" fontId="20" fillId="9" borderId="9" xfId="0" applyFont="1" applyFill="1" applyBorder="1" applyAlignment="1">
      <alignment horizontal="center" vertical="center" wrapText="1"/>
    </xf>
    <xf numFmtId="0" fontId="23" fillId="7" borderId="2" xfId="0" applyFont="1" applyFill="1" applyBorder="1" applyAlignment="1">
      <alignment horizontal="center" vertical="center"/>
    </xf>
    <xf numFmtId="0" fontId="23" fillId="7" borderId="5" xfId="0" applyFont="1" applyFill="1" applyBorder="1" applyAlignment="1">
      <alignment horizontal="center" vertical="center"/>
    </xf>
    <xf numFmtId="0" fontId="21" fillId="8" borderId="3" xfId="0" applyFont="1" applyFill="1" applyBorder="1" applyAlignment="1">
      <alignment horizontal="center" vertical="center"/>
    </xf>
    <xf numFmtId="0" fontId="21" fillId="8" borderId="1" xfId="0" applyFont="1" applyFill="1" applyBorder="1" applyAlignment="1">
      <alignment horizontal="center" vertical="center"/>
    </xf>
    <xf numFmtId="0" fontId="21" fillId="8" borderId="4" xfId="0" applyFont="1" applyFill="1" applyBorder="1" applyAlignment="1">
      <alignment horizontal="center" vertical="center"/>
    </xf>
    <xf numFmtId="0" fontId="21" fillId="8" borderId="6" xfId="0" applyFont="1" applyFill="1" applyBorder="1" applyAlignment="1">
      <alignment horizontal="center" vertical="center"/>
    </xf>
    <xf numFmtId="0" fontId="20" fillId="4" borderId="1" xfId="0" applyFont="1" applyFill="1" applyBorder="1" applyAlignment="1">
      <alignment horizontal="left" vertical="top" wrapText="1"/>
    </xf>
    <xf numFmtId="0" fontId="20" fillId="4" borderId="6" xfId="0" applyFont="1" applyFill="1" applyBorder="1" applyAlignment="1">
      <alignment horizontal="left" vertical="top" wrapText="1"/>
    </xf>
    <xf numFmtId="0" fontId="20" fillId="4" borderId="4" xfId="0" applyFont="1" applyFill="1" applyBorder="1" applyAlignment="1">
      <alignment horizontal="left" vertical="top" wrapText="1"/>
    </xf>
    <xf numFmtId="0" fontId="20" fillId="4" borderId="11" xfId="0" applyFont="1" applyFill="1" applyBorder="1" applyAlignment="1">
      <alignment horizontal="left" vertical="top" wrapText="1"/>
    </xf>
    <xf numFmtId="0" fontId="20" fillId="4" borderId="12" xfId="0" applyFont="1" applyFill="1" applyBorder="1" applyAlignment="1">
      <alignment horizontal="left" vertical="top" wrapText="1"/>
    </xf>
    <xf numFmtId="0" fontId="20" fillId="4" borderId="13" xfId="0" applyFont="1" applyFill="1" applyBorder="1" applyAlignment="1">
      <alignment horizontal="left" vertical="top" wrapText="1"/>
    </xf>
    <xf numFmtId="0" fontId="20" fillId="9" borderId="14" xfId="0" applyFont="1" applyFill="1" applyBorder="1" applyAlignment="1">
      <alignment horizontal="center" vertical="center" wrapText="1"/>
    </xf>
    <xf numFmtId="0" fontId="20" fillId="9" borderId="15" xfId="0" applyFont="1" applyFill="1" applyBorder="1" applyAlignment="1">
      <alignment horizontal="center" vertical="center" wrapText="1"/>
    </xf>
    <xf numFmtId="0" fontId="20" fillId="9" borderId="16" xfId="0" applyFont="1" applyFill="1" applyBorder="1" applyAlignment="1">
      <alignment horizontal="center" vertical="center" wrapText="1"/>
    </xf>
    <xf numFmtId="0" fontId="24" fillId="5" borderId="0" xfId="0" applyFont="1" applyFill="1" applyAlignment="1">
      <alignment horizontal="center" vertical="center"/>
    </xf>
    <xf numFmtId="0" fontId="22" fillId="5" borderId="0" xfId="0" applyFont="1" applyFill="1" applyAlignment="1">
      <alignment horizontal="center" vertical="center"/>
    </xf>
    <xf numFmtId="0" fontId="11" fillId="14" borderId="17" xfId="0" applyFont="1" applyFill="1" applyBorder="1" applyAlignment="1">
      <alignment horizontal="left" vertical="center"/>
    </xf>
    <xf numFmtId="0" fontId="11" fillId="14" borderId="18" xfId="0" applyFont="1" applyFill="1" applyBorder="1" applyAlignment="1">
      <alignment horizontal="left" vertical="center"/>
    </xf>
    <xf numFmtId="0" fontId="9" fillId="10" borderId="0" xfId="4" applyFont="1" applyFill="1" applyBorder="1" applyAlignment="1">
      <alignment horizontal="left" vertical="top" wrapText="1"/>
    </xf>
    <xf numFmtId="0" fontId="9" fillId="10" borderId="22" xfId="4" applyFont="1" applyFill="1" applyBorder="1" applyAlignment="1">
      <alignment horizontal="left" vertical="top" wrapText="1"/>
    </xf>
    <xf numFmtId="0" fontId="9" fillId="10" borderId="23" xfId="4" applyFont="1" applyFill="1" applyBorder="1" applyAlignment="1">
      <alignment horizontal="left" vertical="top" wrapText="1"/>
    </xf>
    <xf numFmtId="0" fontId="9" fillId="10" borderId="0" xfId="4" applyFont="1" applyFill="1" applyBorder="1" applyAlignment="1">
      <alignment horizontal="left" wrapText="1"/>
    </xf>
    <xf numFmtId="0" fontId="14" fillId="18" borderId="26" xfId="6" applyFont="1" applyFill="1" applyBorder="1" applyAlignment="1">
      <alignment horizontal="center" vertical="center" wrapText="1"/>
    </xf>
    <xf numFmtId="0" fontId="14" fillId="18" borderId="24" xfId="6" applyFont="1" applyFill="1" applyBorder="1" applyAlignment="1">
      <alignment horizontal="center" vertical="center" wrapText="1"/>
    </xf>
    <xf numFmtId="0" fontId="16" fillId="19" borderId="0" xfId="1" applyFont="1" applyFill="1" applyBorder="1" applyAlignment="1">
      <alignment horizontal="center" vertical="center"/>
    </xf>
    <xf numFmtId="0" fontId="15" fillId="19" borderId="0" xfId="7" applyFont="1" applyFill="1" applyBorder="1" applyAlignment="1">
      <alignment horizontal="center" vertical="center" wrapText="1"/>
    </xf>
    <xf numFmtId="0" fontId="25" fillId="17" borderId="32" xfId="5" applyFont="1" applyFill="1" applyBorder="1" applyAlignment="1">
      <alignment horizontal="center" vertical="center" wrapText="1"/>
    </xf>
    <xf numFmtId="0" fontId="25" fillId="17" borderId="33" xfId="5" applyFont="1" applyFill="1" applyBorder="1" applyAlignment="1">
      <alignment horizontal="center" vertical="center" wrapText="1"/>
    </xf>
    <xf numFmtId="0" fontId="12" fillId="24" borderId="32" xfId="0" applyFont="1" applyFill="1" applyBorder="1" applyAlignment="1">
      <alignment horizontal="center" vertical="center" wrapText="1"/>
    </xf>
    <xf numFmtId="0" fontId="12" fillId="24" borderId="34" xfId="0" applyFont="1" applyFill="1" applyBorder="1" applyAlignment="1">
      <alignment horizontal="center" vertical="center" wrapText="1"/>
    </xf>
    <xf numFmtId="0" fontId="25" fillId="26" borderId="32" xfId="0" applyFont="1" applyFill="1" applyBorder="1" applyAlignment="1">
      <alignment horizontal="center" vertical="center" wrapText="1"/>
    </xf>
    <xf numFmtId="0" fontId="25" fillId="26" borderId="33" xfId="0" applyFont="1" applyFill="1" applyBorder="1" applyAlignment="1">
      <alignment horizontal="center" vertical="center" wrapText="1"/>
    </xf>
    <xf numFmtId="0" fontId="12" fillId="24" borderId="28" xfId="0" applyFont="1" applyFill="1" applyBorder="1" applyAlignment="1">
      <alignment horizontal="center" vertical="center" wrapText="1"/>
    </xf>
    <xf numFmtId="0" fontId="6" fillId="5" borderId="30" xfId="0" applyFont="1" applyFill="1" applyBorder="1" applyAlignment="1">
      <alignment horizontal="center" vertical="center"/>
    </xf>
    <xf numFmtId="0" fontId="6" fillId="5" borderId="0" xfId="0" applyFont="1" applyFill="1" applyBorder="1" applyAlignment="1">
      <alignment horizontal="center" vertical="center"/>
    </xf>
    <xf numFmtId="0" fontId="12" fillId="24" borderId="33" xfId="0" applyFont="1" applyFill="1" applyBorder="1" applyAlignment="1">
      <alignment horizontal="center" vertical="center" wrapText="1"/>
    </xf>
    <xf numFmtId="0" fontId="12" fillId="25" borderId="28" xfId="0" applyFont="1" applyFill="1" applyBorder="1" applyAlignment="1">
      <alignment horizontal="center" vertical="center" wrapText="1"/>
    </xf>
    <xf numFmtId="0" fontId="12" fillId="24" borderId="28" xfId="0" applyFont="1" applyFill="1" applyBorder="1" applyAlignment="1">
      <alignment horizontal="center" vertical="center"/>
    </xf>
  </cellXfs>
  <cellStyles count="8">
    <cellStyle name="Hyperlink" xfId="5" builtinId="8"/>
    <cellStyle name="Normal" xfId="0" builtinId="0"/>
    <cellStyle name="Normal 2" xfId="4" xr:uid="{00000000-0005-0000-0000-000002000000}"/>
    <cellStyle name="Normal 2 2" xfId="7" xr:uid="{00000000-0005-0000-0000-000003000000}"/>
    <cellStyle name="Normal 3" xfId="2" xr:uid="{00000000-0005-0000-0000-000004000000}"/>
    <cellStyle name="Normal 3 2" xfId="1" xr:uid="{00000000-0005-0000-0000-000005000000}"/>
    <cellStyle name="Normal 3 2 2" xfId="6" xr:uid="{00000000-0005-0000-0000-000006000000}"/>
    <cellStyle name="Normal 4" xfId="3" xr:uid="{00000000-0005-0000-0000-000007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9999"/>
      <color rgb="FFFF99FF"/>
      <color rgb="FFFF66CC"/>
      <color rgb="FF00FFFF"/>
      <color rgb="FFFFC611"/>
      <color rgb="FF99FE33"/>
      <color rgb="FF002776"/>
      <color rgb="FF99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Data Entry'!A1"/><Relationship Id="rId2" Type="http://schemas.openxmlformats.org/officeDocument/2006/relationships/hyperlink" Target="#'Define Scope'!A1"/><Relationship Id="rId1" Type="http://schemas.openxmlformats.org/officeDocument/2006/relationships/hyperlink" Target="#'Complexity Definitions'!A1"/><Relationship Id="rId5" Type="http://schemas.openxmlformats.org/officeDocument/2006/relationships/hyperlink" Target="#'Testing Effort Break-Up'!A1"/><Relationship Id="rId4" Type="http://schemas.openxmlformats.org/officeDocument/2006/relationships/hyperlink" Target="#'Estimation Summary'!A1"/></Relationships>
</file>

<file path=xl/drawings/_rels/drawing2.xml.rels><?xml version="1.0" encoding="UTF-8" standalone="yes"?>
<Relationships xmlns="http://schemas.openxmlformats.org/package/2006/relationships"><Relationship Id="rId2" Type="http://schemas.openxmlformats.org/officeDocument/2006/relationships/hyperlink" Target="#'Define Scope'!A1"/><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hyperlink" Target="#Instructions!A1"/></Relationships>
</file>

<file path=xl/drawings/_rels/drawing4.xml.rels><?xml version="1.0" encoding="UTF-8" standalone="yes"?>
<Relationships xmlns="http://schemas.openxmlformats.org/package/2006/relationships"><Relationship Id="rId2" Type="http://schemas.openxmlformats.org/officeDocument/2006/relationships/hyperlink" Target="#'Estimation Summary'!A1"/><Relationship Id="rId1" Type="http://schemas.openxmlformats.org/officeDocument/2006/relationships/hyperlink" Target="#Instructions!A1"/></Relationships>
</file>

<file path=xl/drawings/_rels/drawing5.xml.rels><?xml version="1.0" encoding="UTF-8" standalone="yes"?>
<Relationships xmlns="http://schemas.openxmlformats.org/package/2006/relationships"><Relationship Id="rId2" Type="http://schemas.openxmlformats.org/officeDocument/2006/relationships/hyperlink" Target="#'Testing Effort Break-Up'!A1"/><Relationship Id="rId1" Type="http://schemas.openxmlformats.org/officeDocument/2006/relationships/hyperlink" Target="#Instructions!A1"/></Relationships>
</file>

<file path=xl/drawings/_rels/drawing6.xml.rels><?xml version="1.0" encoding="UTF-8" standalone="yes"?>
<Relationships xmlns="http://schemas.openxmlformats.org/package/2006/relationships"><Relationship Id="rId1" Type="http://schemas.openxmlformats.org/officeDocument/2006/relationships/hyperlink" Target="#Instructions!A1"/></Relationships>
</file>

<file path=xl/drawings/drawing1.xml><?xml version="1.0" encoding="utf-8"?>
<xdr:wsDr xmlns:xdr="http://schemas.openxmlformats.org/drawingml/2006/spreadsheetDrawing" xmlns:a="http://schemas.openxmlformats.org/drawingml/2006/main">
  <xdr:twoCellAnchor>
    <xdr:from>
      <xdr:col>2</xdr:col>
      <xdr:colOff>12699</xdr:colOff>
      <xdr:row>9</xdr:row>
      <xdr:rowOff>120650</xdr:rowOff>
    </xdr:from>
    <xdr:to>
      <xdr:col>4</xdr:col>
      <xdr:colOff>141816</xdr:colOff>
      <xdr:row>13</xdr:row>
      <xdr:rowOff>76200</xdr:rowOff>
    </xdr:to>
    <xdr:sp macro="" textlink="">
      <xdr:nvSpPr>
        <xdr:cNvPr id="5" name="Pentagon 4">
          <a:hlinkClick xmlns:r="http://schemas.openxmlformats.org/officeDocument/2006/relationships" r:id="rId1"/>
          <a:extLst>
            <a:ext uri="{FF2B5EF4-FFF2-40B4-BE49-F238E27FC236}">
              <a16:creationId xmlns:a16="http://schemas.microsoft.com/office/drawing/2014/main" id="{00000000-0008-0000-0000-000005000000}"/>
            </a:ext>
          </a:extLst>
        </xdr:cNvPr>
        <xdr:cNvSpPr/>
      </xdr:nvSpPr>
      <xdr:spPr>
        <a:xfrm>
          <a:off x="977899" y="1968500"/>
          <a:ext cx="1615017" cy="692150"/>
        </a:xfrm>
        <a:prstGeom prst="homePlate">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Verdana" panose="020B0604030504040204" pitchFamily="34" charset="0"/>
              <a:ea typeface="Verdana" panose="020B0604030504040204" pitchFamily="34" charset="0"/>
              <a:cs typeface="Verdana" panose="020B0604030504040204" pitchFamily="34" charset="0"/>
            </a:rPr>
            <a:t>Complexity Definitions</a:t>
          </a:r>
        </a:p>
      </xdr:txBody>
    </xdr:sp>
    <xdr:clientData/>
  </xdr:twoCellAnchor>
  <xdr:twoCellAnchor>
    <xdr:from>
      <xdr:col>3</xdr:col>
      <xdr:colOff>934353</xdr:colOff>
      <xdr:row>9</xdr:row>
      <xdr:rowOff>120650</xdr:rowOff>
    </xdr:from>
    <xdr:to>
      <xdr:col>6</xdr:col>
      <xdr:colOff>145140</xdr:colOff>
      <xdr:row>13</xdr:row>
      <xdr:rowOff>76200</xdr:rowOff>
    </xdr:to>
    <xdr:sp macro="" textlink="">
      <xdr:nvSpPr>
        <xdr:cNvPr id="6" name="Chevron 5">
          <a:hlinkClick xmlns:r="http://schemas.openxmlformats.org/officeDocument/2006/relationships" r:id="rId2"/>
          <a:extLst>
            <a:ext uri="{FF2B5EF4-FFF2-40B4-BE49-F238E27FC236}">
              <a16:creationId xmlns:a16="http://schemas.microsoft.com/office/drawing/2014/main" id="{00000000-0008-0000-0000-000006000000}"/>
            </a:ext>
          </a:extLst>
        </xdr:cNvPr>
        <xdr:cNvSpPr/>
      </xdr:nvSpPr>
      <xdr:spPr>
        <a:xfrm>
          <a:off x="3483424" y="1699079"/>
          <a:ext cx="3165930" cy="790121"/>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accent4"/>
              </a:solidFill>
              <a:latin typeface="Verdana" panose="020B0604030504040204" pitchFamily="34" charset="0"/>
              <a:ea typeface="Verdana" panose="020B0604030504040204" pitchFamily="34" charset="0"/>
              <a:cs typeface="Verdana" panose="020B0604030504040204" pitchFamily="34" charset="0"/>
            </a:rPr>
            <a:t>User Step1 </a:t>
          </a:r>
          <a:r>
            <a:rPr lang="en-US" sz="1000" b="1">
              <a:solidFill>
                <a:schemeClr val="bg1"/>
              </a:solidFill>
              <a:latin typeface="Verdana" panose="020B0604030504040204" pitchFamily="34" charset="0"/>
              <a:ea typeface="Verdana" panose="020B0604030504040204" pitchFamily="34" charset="0"/>
              <a:cs typeface="Verdana" panose="020B0604030504040204" pitchFamily="34" charset="0"/>
            </a:rPr>
            <a:t>- Define</a:t>
          </a:r>
          <a:r>
            <a:rPr lang="en-US" sz="1000" b="1" baseline="0">
              <a:solidFill>
                <a:schemeClr val="bg1"/>
              </a:solidFill>
              <a:latin typeface="Verdana" panose="020B0604030504040204" pitchFamily="34" charset="0"/>
              <a:ea typeface="Verdana" panose="020B0604030504040204" pitchFamily="34" charset="0"/>
              <a:cs typeface="Verdana" panose="020B0604030504040204" pitchFamily="34" charset="0"/>
            </a:rPr>
            <a:t> Scope</a:t>
          </a:r>
          <a:endParaRPr lang="en-US" sz="1000" b="1">
            <a:solidFill>
              <a:schemeClr val="bg1"/>
            </a:solidFill>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5</xdr:col>
      <xdr:colOff>1200145</xdr:colOff>
      <xdr:row>9</xdr:row>
      <xdr:rowOff>120649</xdr:rowOff>
    </xdr:from>
    <xdr:to>
      <xdr:col>8</xdr:col>
      <xdr:colOff>272141</xdr:colOff>
      <xdr:row>13</xdr:row>
      <xdr:rowOff>76199</xdr:rowOff>
    </xdr:to>
    <xdr:sp macro="[0]!VerifyRows" textlink="">
      <xdr:nvSpPr>
        <xdr:cNvPr id="10" name="Chevron 9">
          <a:hlinkClick xmlns:r="http://schemas.openxmlformats.org/officeDocument/2006/relationships" r:id="rId3"/>
          <a:extLst>
            <a:ext uri="{FF2B5EF4-FFF2-40B4-BE49-F238E27FC236}">
              <a16:creationId xmlns:a16="http://schemas.microsoft.com/office/drawing/2014/main" id="{00000000-0008-0000-0000-00000A000000}"/>
            </a:ext>
          </a:extLst>
        </xdr:cNvPr>
        <xdr:cNvSpPr/>
      </xdr:nvSpPr>
      <xdr:spPr>
        <a:xfrm>
          <a:off x="6125931" y="1481363"/>
          <a:ext cx="2990853" cy="753836"/>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accent4"/>
              </a:solidFill>
              <a:latin typeface="Verdana" panose="020B0604030504040204" pitchFamily="34" charset="0"/>
              <a:ea typeface="Verdana" panose="020B0604030504040204" pitchFamily="34" charset="0"/>
              <a:cs typeface="Verdana" panose="020B0604030504040204" pitchFamily="34" charset="0"/>
            </a:rPr>
            <a:t>User Step2 </a:t>
          </a:r>
          <a:r>
            <a:rPr lang="en-US" sz="1000" b="1">
              <a:solidFill>
                <a:schemeClr val="bg1"/>
              </a:solidFill>
              <a:latin typeface="Verdana" panose="020B0604030504040204" pitchFamily="34" charset="0"/>
              <a:ea typeface="Verdana" panose="020B0604030504040204" pitchFamily="34" charset="0"/>
              <a:cs typeface="Verdana" panose="020B0604030504040204" pitchFamily="34" charset="0"/>
            </a:rPr>
            <a:t>- Data Entry</a:t>
          </a:r>
        </a:p>
      </xdr:txBody>
    </xdr:sp>
    <xdr:clientData/>
  </xdr:twoCellAnchor>
  <xdr:twoCellAnchor>
    <xdr:from>
      <xdr:col>8</xdr:col>
      <xdr:colOff>29032</xdr:colOff>
      <xdr:row>9</xdr:row>
      <xdr:rowOff>120650</xdr:rowOff>
    </xdr:from>
    <xdr:to>
      <xdr:col>10</xdr:col>
      <xdr:colOff>399145</xdr:colOff>
      <xdr:row>13</xdr:row>
      <xdr:rowOff>76200</xdr:rowOff>
    </xdr:to>
    <xdr:sp macro="" textlink="">
      <xdr:nvSpPr>
        <xdr:cNvPr id="12" name="Chevron 11">
          <a:hlinkClick xmlns:r="http://schemas.openxmlformats.org/officeDocument/2006/relationships" r:id="rId4"/>
          <a:extLst>
            <a:ext uri="{FF2B5EF4-FFF2-40B4-BE49-F238E27FC236}">
              <a16:creationId xmlns:a16="http://schemas.microsoft.com/office/drawing/2014/main" id="{00000000-0008-0000-0000-00000C000000}"/>
            </a:ext>
          </a:extLst>
        </xdr:cNvPr>
        <xdr:cNvSpPr/>
      </xdr:nvSpPr>
      <xdr:spPr>
        <a:xfrm>
          <a:off x="8873675" y="1481364"/>
          <a:ext cx="2982684" cy="753836"/>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accent4"/>
              </a:solidFill>
              <a:latin typeface="Verdana" panose="020B0604030504040204" pitchFamily="34" charset="0"/>
              <a:ea typeface="Verdana" panose="020B0604030504040204" pitchFamily="34" charset="0"/>
              <a:cs typeface="Verdana" panose="020B0604030504040204" pitchFamily="34" charset="0"/>
            </a:rPr>
            <a:t>User Step3</a:t>
          </a:r>
          <a:r>
            <a:rPr lang="en-US" sz="1000" b="1">
              <a:solidFill>
                <a:schemeClr val="bg1"/>
              </a:solidFill>
              <a:latin typeface="Verdana" panose="020B0604030504040204" pitchFamily="34" charset="0"/>
              <a:ea typeface="Verdana" panose="020B0604030504040204" pitchFamily="34" charset="0"/>
              <a:cs typeface="Verdana" panose="020B0604030504040204" pitchFamily="34" charset="0"/>
            </a:rPr>
            <a:t> - Estimation</a:t>
          </a:r>
        </a:p>
        <a:p>
          <a:pPr algn="ctr"/>
          <a:r>
            <a:rPr lang="en-US" sz="1000" b="1">
              <a:solidFill>
                <a:schemeClr val="bg1"/>
              </a:solidFill>
              <a:latin typeface="Verdana" panose="020B0604030504040204" pitchFamily="34" charset="0"/>
              <a:ea typeface="Verdana" panose="020B0604030504040204" pitchFamily="34" charset="0"/>
              <a:cs typeface="Verdana" panose="020B0604030504040204" pitchFamily="34" charset="0"/>
            </a:rPr>
            <a:t> Summary</a:t>
          </a:r>
        </a:p>
      </xdr:txBody>
    </xdr:sp>
    <xdr:clientData/>
  </xdr:twoCellAnchor>
  <xdr:twoCellAnchor>
    <xdr:from>
      <xdr:col>10</xdr:col>
      <xdr:colOff>145148</xdr:colOff>
      <xdr:row>9</xdr:row>
      <xdr:rowOff>120649</xdr:rowOff>
    </xdr:from>
    <xdr:to>
      <xdr:col>12</xdr:col>
      <xdr:colOff>90715</xdr:colOff>
      <xdr:row>13</xdr:row>
      <xdr:rowOff>76199</xdr:rowOff>
    </xdr:to>
    <xdr:sp macro="" textlink="">
      <xdr:nvSpPr>
        <xdr:cNvPr id="13" name="Chevron 12">
          <a:hlinkClick xmlns:r="http://schemas.openxmlformats.org/officeDocument/2006/relationships" r:id="rId5"/>
          <a:extLst>
            <a:ext uri="{FF2B5EF4-FFF2-40B4-BE49-F238E27FC236}">
              <a16:creationId xmlns:a16="http://schemas.microsoft.com/office/drawing/2014/main" id="{00000000-0008-0000-0000-00000D000000}"/>
            </a:ext>
          </a:extLst>
        </xdr:cNvPr>
        <xdr:cNvSpPr/>
      </xdr:nvSpPr>
      <xdr:spPr>
        <a:xfrm>
          <a:off x="11765648" y="1717220"/>
          <a:ext cx="2558138" cy="753836"/>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accent4"/>
              </a:solidFill>
              <a:latin typeface="Verdana" panose="020B0604030504040204" pitchFamily="34" charset="0"/>
              <a:ea typeface="Verdana" panose="020B0604030504040204" pitchFamily="34" charset="0"/>
              <a:cs typeface="Verdana" panose="020B0604030504040204" pitchFamily="34" charset="0"/>
            </a:rPr>
            <a:t>User</a:t>
          </a:r>
          <a:r>
            <a:rPr lang="en-US" sz="1000" b="1" baseline="0">
              <a:solidFill>
                <a:schemeClr val="accent4"/>
              </a:solidFill>
              <a:latin typeface="Verdana" panose="020B0604030504040204" pitchFamily="34" charset="0"/>
              <a:ea typeface="Verdana" panose="020B0604030504040204" pitchFamily="34" charset="0"/>
              <a:cs typeface="Verdana" panose="020B0604030504040204" pitchFamily="34" charset="0"/>
            </a:rPr>
            <a:t> Step4 </a:t>
          </a:r>
          <a:r>
            <a:rPr lang="en-US" sz="1000" b="1" baseline="0">
              <a:solidFill>
                <a:schemeClr val="bg1"/>
              </a:solidFill>
              <a:latin typeface="Verdana" panose="020B0604030504040204" pitchFamily="34" charset="0"/>
              <a:ea typeface="Verdana" panose="020B0604030504040204" pitchFamily="34" charset="0"/>
              <a:cs typeface="Verdana" panose="020B0604030504040204" pitchFamily="34" charset="0"/>
            </a:rPr>
            <a:t>- Testing</a:t>
          </a:r>
          <a:r>
            <a:rPr lang="en-US" sz="1000" b="1">
              <a:solidFill>
                <a:schemeClr val="bg1"/>
              </a:solidFill>
              <a:latin typeface="Verdana" panose="020B0604030504040204" pitchFamily="34" charset="0"/>
              <a:ea typeface="Verdana" panose="020B0604030504040204" pitchFamily="34" charset="0"/>
              <a:cs typeface="Verdana" panose="020B0604030504040204" pitchFamily="34" charset="0"/>
            </a:rPr>
            <a:t> Effort Break-Up</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130629</xdr:colOff>
      <xdr:row>0</xdr:row>
      <xdr:rowOff>18143</xdr:rowOff>
    </xdr:from>
    <xdr:to>
      <xdr:col>4</xdr:col>
      <xdr:colOff>163286</xdr:colOff>
      <xdr:row>1</xdr:row>
      <xdr:rowOff>18143</xdr:rowOff>
    </xdr:to>
    <xdr:sp macro="" textlink="">
      <xdr:nvSpPr>
        <xdr:cNvPr id="2" name="Left Arrow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2498272" y="18143"/>
          <a:ext cx="1792514" cy="417286"/>
        </a:xfrm>
        <a:prstGeom prst="leftArrow">
          <a:avLst/>
        </a:prstGeom>
        <a:solidFill>
          <a:srgbClr val="99CC33"/>
        </a:solidFill>
        <a:ln>
          <a:noFill/>
        </a:ln>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800" b="1">
              <a:ln>
                <a:noFill/>
              </a:ln>
              <a:latin typeface="Verdana" panose="020B0604030504040204" pitchFamily="34" charset="0"/>
              <a:ea typeface="Verdana" panose="020B0604030504040204" pitchFamily="34" charset="0"/>
              <a:cs typeface="Verdana" panose="020B0604030504040204" pitchFamily="34" charset="0"/>
            </a:rPr>
            <a:t>Back to </a:t>
          </a:r>
          <a:r>
            <a:rPr lang="en-US" sz="1100" b="1">
              <a:solidFill>
                <a:schemeClr val="lt1"/>
              </a:solidFill>
              <a:effectLst/>
              <a:latin typeface="+mn-lt"/>
              <a:ea typeface="+mn-ea"/>
              <a:cs typeface="+mn-cs"/>
            </a:rPr>
            <a:t>Instructions</a:t>
          </a:r>
          <a:endParaRPr lang="en-US" sz="800" b="1">
            <a:ln>
              <a:noFill/>
            </a:ln>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6</xdr:col>
      <xdr:colOff>27214</xdr:colOff>
      <xdr:row>0</xdr:row>
      <xdr:rowOff>25400</xdr:rowOff>
    </xdr:from>
    <xdr:to>
      <xdr:col>8</xdr:col>
      <xdr:colOff>50800</xdr:colOff>
      <xdr:row>0</xdr:row>
      <xdr:rowOff>408214</xdr:rowOff>
    </xdr:to>
    <xdr:sp macro="" textlink="">
      <xdr:nvSpPr>
        <xdr:cNvPr id="3" name="Right Arrow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5914571" y="25400"/>
          <a:ext cx="1783443" cy="382814"/>
        </a:xfrm>
        <a:prstGeom prst="rightArrow">
          <a:avLst/>
        </a:prstGeom>
        <a:solidFill>
          <a:srgbClr val="99CC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chemeClr val="bg1"/>
              </a:solidFill>
              <a:latin typeface="Verdana" panose="020B0604030504040204" pitchFamily="34" charset="0"/>
              <a:ea typeface="Verdana" panose="020B0604030504040204" pitchFamily="34" charset="0"/>
              <a:cs typeface="Verdana" panose="020B0604030504040204" pitchFamily="34" charset="0"/>
            </a:rPr>
            <a:t>Define Scope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1803400</xdr:colOff>
      <xdr:row>0</xdr:row>
      <xdr:rowOff>0</xdr:rowOff>
    </xdr:from>
    <xdr:to>
      <xdr:col>2</xdr:col>
      <xdr:colOff>304800</xdr:colOff>
      <xdr:row>0</xdr:row>
      <xdr:rowOff>359410</xdr:rowOff>
    </xdr:to>
    <xdr:sp macro="" textlink="">
      <xdr:nvSpPr>
        <xdr:cNvPr id="4" name="Left Arrow 3">
          <a:hlinkClick xmlns:r="http://schemas.openxmlformats.org/officeDocument/2006/relationships" r:id="rId1"/>
          <a:extLst>
            <a:ext uri="{FF2B5EF4-FFF2-40B4-BE49-F238E27FC236}">
              <a16:creationId xmlns:a16="http://schemas.microsoft.com/office/drawing/2014/main" id="{00000000-0008-0000-0200-000004000000}"/>
            </a:ext>
          </a:extLst>
        </xdr:cNvPr>
        <xdr:cNvSpPr/>
      </xdr:nvSpPr>
      <xdr:spPr>
        <a:xfrm>
          <a:off x="2571750" y="0"/>
          <a:ext cx="1682750" cy="359410"/>
        </a:xfrm>
        <a:prstGeom prst="leftArrow">
          <a:avLst/>
        </a:prstGeom>
        <a:solidFill>
          <a:srgbClr val="99CC33"/>
        </a:solidFill>
        <a:ln>
          <a:noFill/>
        </a:ln>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800" b="1">
              <a:ln>
                <a:noFill/>
              </a:ln>
              <a:latin typeface="Verdana" panose="020B0604030504040204" pitchFamily="34" charset="0"/>
              <a:ea typeface="Verdana" panose="020B0604030504040204" pitchFamily="34" charset="0"/>
              <a:cs typeface="Verdana" panose="020B0604030504040204" pitchFamily="34" charset="0"/>
            </a:rPr>
            <a:t>Back to Instructions</a:t>
          </a:r>
        </a:p>
      </xdr:txBody>
    </xdr:sp>
    <xdr:clientData/>
  </xdr:twoCellAnchor>
  <xdr:twoCellAnchor>
    <xdr:from>
      <xdr:col>3</xdr:col>
      <xdr:colOff>254000</xdr:colOff>
      <xdr:row>0</xdr:row>
      <xdr:rowOff>0</xdr:rowOff>
    </xdr:from>
    <xdr:to>
      <xdr:col>4</xdr:col>
      <xdr:colOff>781050</xdr:colOff>
      <xdr:row>0</xdr:row>
      <xdr:rowOff>355600</xdr:rowOff>
    </xdr:to>
    <xdr:sp macro="[0]!VerifyRows" textlink="">
      <xdr:nvSpPr>
        <xdr:cNvPr id="5" name="Right Arrow 4">
          <a:extLst>
            <a:ext uri="{FF2B5EF4-FFF2-40B4-BE49-F238E27FC236}">
              <a16:creationId xmlns:a16="http://schemas.microsoft.com/office/drawing/2014/main" id="{00000000-0008-0000-0200-000005000000}"/>
            </a:ext>
          </a:extLst>
        </xdr:cNvPr>
        <xdr:cNvSpPr/>
      </xdr:nvSpPr>
      <xdr:spPr>
        <a:xfrm>
          <a:off x="5791200" y="0"/>
          <a:ext cx="1358900" cy="355600"/>
        </a:xfrm>
        <a:prstGeom prst="rightArrow">
          <a:avLst/>
        </a:prstGeom>
        <a:solidFill>
          <a:srgbClr val="99CC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i="0">
              <a:solidFill>
                <a:schemeClr val="bg1"/>
              </a:solidFill>
              <a:latin typeface="Verdana" panose="020B0604030504040204" pitchFamily="34" charset="0"/>
              <a:ea typeface="Verdana" panose="020B0604030504040204" pitchFamily="34" charset="0"/>
              <a:cs typeface="Verdana" panose="020B0604030504040204" pitchFamily="34" charset="0"/>
            </a:rPr>
            <a:t>Data Entry</a:t>
          </a:r>
          <a:endParaRPr lang="en-US" sz="800" b="1">
            <a:solidFill>
              <a:schemeClr val="bg1"/>
            </a:solidFill>
            <a:latin typeface="Verdana" panose="020B0604030504040204" pitchFamily="34" charset="0"/>
            <a:ea typeface="Verdana" panose="020B0604030504040204" pitchFamily="34" charset="0"/>
            <a:cs typeface="Verdana" panose="020B060403050404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2095500</xdr:colOff>
      <xdr:row>0</xdr:row>
      <xdr:rowOff>0</xdr:rowOff>
    </xdr:from>
    <xdr:to>
      <xdr:col>2</xdr:col>
      <xdr:colOff>3708400</xdr:colOff>
      <xdr:row>0</xdr:row>
      <xdr:rowOff>340360</xdr:rowOff>
    </xdr:to>
    <xdr:sp macro="" textlink="">
      <xdr:nvSpPr>
        <xdr:cNvPr id="2" name="Left Arrow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2355850" y="0"/>
          <a:ext cx="1612900" cy="340360"/>
        </a:xfrm>
        <a:prstGeom prst="leftArrow">
          <a:avLst/>
        </a:prstGeom>
        <a:solidFill>
          <a:srgbClr val="99CC33"/>
        </a:solidFill>
        <a:ln>
          <a:noFill/>
        </a:ln>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800" b="1">
              <a:ln>
                <a:noFill/>
              </a:ln>
              <a:latin typeface="Verdana" panose="020B0604030504040204" pitchFamily="34" charset="0"/>
              <a:ea typeface="Verdana" panose="020B0604030504040204" pitchFamily="34" charset="0"/>
              <a:cs typeface="Verdana" panose="020B0604030504040204" pitchFamily="34" charset="0"/>
            </a:rPr>
            <a:t>Back to Instructions</a:t>
          </a:r>
        </a:p>
      </xdr:txBody>
    </xdr:sp>
    <xdr:clientData/>
  </xdr:twoCellAnchor>
  <xdr:twoCellAnchor>
    <xdr:from>
      <xdr:col>6</xdr:col>
      <xdr:colOff>247650</xdr:colOff>
      <xdr:row>0</xdr:row>
      <xdr:rowOff>12700</xdr:rowOff>
    </xdr:from>
    <xdr:to>
      <xdr:col>8</xdr:col>
      <xdr:colOff>457200</xdr:colOff>
      <xdr:row>1</xdr:row>
      <xdr:rowOff>6350</xdr:rowOff>
    </xdr:to>
    <xdr:sp macro="" textlink="">
      <xdr:nvSpPr>
        <xdr:cNvPr id="3" name="Right Arrow 2">
          <a:hlinkClick xmlns:r="http://schemas.openxmlformats.org/officeDocument/2006/relationships" r:id="rId2"/>
          <a:extLst>
            <a:ext uri="{FF2B5EF4-FFF2-40B4-BE49-F238E27FC236}">
              <a16:creationId xmlns:a16="http://schemas.microsoft.com/office/drawing/2014/main" id="{00000000-0008-0000-0300-000003000000}"/>
            </a:ext>
          </a:extLst>
        </xdr:cNvPr>
        <xdr:cNvSpPr/>
      </xdr:nvSpPr>
      <xdr:spPr>
        <a:xfrm>
          <a:off x="7962900" y="12700"/>
          <a:ext cx="1841500" cy="336550"/>
        </a:xfrm>
        <a:prstGeom prst="rightArrow">
          <a:avLst/>
        </a:prstGeom>
        <a:solidFill>
          <a:srgbClr val="99CC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i="0">
              <a:solidFill>
                <a:schemeClr val="bg1"/>
              </a:solidFill>
              <a:latin typeface="Verdana" panose="020B0604030504040204" pitchFamily="34" charset="0"/>
              <a:ea typeface="Verdana" panose="020B0604030504040204" pitchFamily="34" charset="0"/>
              <a:cs typeface="Verdana" panose="020B0604030504040204" pitchFamily="34" charset="0"/>
            </a:rPr>
            <a:t>Effort</a:t>
          </a:r>
          <a:r>
            <a:rPr lang="en-US" sz="800" b="1" i="0" baseline="0">
              <a:solidFill>
                <a:schemeClr val="bg1"/>
              </a:solidFill>
              <a:latin typeface="Verdana" panose="020B0604030504040204" pitchFamily="34" charset="0"/>
              <a:ea typeface="Verdana" panose="020B0604030504040204" pitchFamily="34" charset="0"/>
              <a:cs typeface="Verdana" panose="020B0604030504040204" pitchFamily="34" charset="0"/>
            </a:rPr>
            <a:t> </a:t>
          </a:r>
          <a:r>
            <a:rPr lang="en-US" sz="800" b="1" i="0">
              <a:solidFill>
                <a:schemeClr val="bg1"/>
              </a:solidFill>
              <a:latin typeface="Verdana" panose="020B0604030504040204" pitchFamily="34" charset="0"/>
              <a:ea typeface="Verdana" panose="020B0604030504040204" pitchFamily="34" charset="0"/>
              <a:cs typeface="Verdana" panose="020B0604030504040204" pitchFamily="34" charset="0"/>
            </a:rPr>
            <a:t>Summary</a:t>
          </a:r>
          <a:endParaRPr lang="en-US" sz="800" b="1">
            <a:solidFill>
              <a:schemeClr val="bg1"/>
            </a:solidFill>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4</xdr:col>
      <xdr:colOff>412750</xdr:colOff>
      <xdr:row>0</xdr:row>
      <xdr:rowOff>95250</xdr:rowOff>
    </xdr:from>
    <xdr:to>
      <xdr:col>5</xdr:col>
      <xdr:colOff>1085850</xdr:colOff>
      <xdr:row>0</xdr:row>
      <xdr:rowOff>279400</xdr:rowOff>
    </xdr:to>
    <xdr:sp macro="[0]!DetermineComplexity" textlink="">
      <xdr:nvSpPr>
        <xdr:cNvPr id="5" name="Rectangle 4">
          <a:extLst>
            <a:ext uri="{FF2B5EF4-FFF2-40B4-BE49-F238E27FC236}">
              <a16:creationId xmlns:a16="http://schemas.microsoft.com/office/drawing/2014/main" id="{00000000-0008-0000-0300-000005000000}"/>
            </a:ext>
          </a:extLst>
        </xdr:cNvPr>
        <xdr:cNvSpPr/>
      </xdr:nvSpPr>
      <xdr:spPr>
        <a:xfrm>
          <a:off x="6013450" y="95250"/>
          <a:ext cx="1651000" cy="184150"/>
        </a:xfrm>
        <a:prstGeom prst="rect">
          <a:avLst/>
        </a:prstGeom>
        <a:solidFill>
          <a:srgbClr val="99CC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Determine Complexity</a:t>
          </a:r>
          <a:endParaRPr lang="en-US" sz="1100"/>
        </a:p>
      </xdr:txBody>
    </xdr:sp>
    <xdr:clientData/>
  </xdr:twoCellAnchor>
  <xdr:twoCellAnchor>
    <xdr:from>
      <xdr:col>3</xdr:col>
      <xdr:colOff>0</xdr:colOff>
      <xdr:row>0</xdr:row>
      <xdr:rowOff>88900</xdr:rowOff>
    </xdr:from>
    <xdr:to>
      <xdr:col>3</xdr:col>
      <xdr:colOff>1111250</xdr:colOff>
      <xdr:row>0</xdr:row>
      <xdr:rowOff>285750</xdr:rowOff>
    </xdr:to>
    <xdr:sp macro="[0]!ResetDataEntries" textlink="">
      <xdr:nvSpPr>
        <xdr:cNvPr id="6" name="Rectangle 5">
          <a:extLst>
            <a:ext uri="{FF2B5EF4-FFF2-40B4-BE49-F238E27FC236}">
              <a16:creationId xmlns:a16="http://schemas.microsoft.com/office/drawing/2014/main" id="{00000000-0008-0000-0300-000006000000}"/>
            </a:ext>
          </a:extLst>
        </xdr:cNvPr>
        <xdr:cNvSpPr/>
      </xdr:nvSpPr>
      <xdr:spPr>
        <a:xfrm>
          <a:off x="4483100" y="88900"/>
          <a:ext cx="1111250" cy="196850"/>
        </a:xfrm>
        <a:prstGeom prst="rect">
          <a:avLst/>
        </a:prstGeom>
        <a:solidFill>
          <a:srgbClr val="99CC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Reset Entries</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1593850</xdr:colOff>
      <xdr:row>0</xdr:row>
      <xdr:rowOff>0</xdr:rowOff>
    </xdr:from>
    <xdr:to>
      <xdr:col>2</xdr:col>
      <xdr:colOff>3505200</xdr:colOff>
      <xdr:row>0</xdr:row>
      <xdr:rowOff>340360</xdr:rowOff>
    </xdr:to>
    <xdr:sp macro="" textlink="">
      <xdr:nvSpPr>
        <xdr:cNvPr id="2" name="Left Arrow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1885950" y="0"/>
          <a:ext cx="1911350" cy="340360"/>
        </a:xfrm>
        <a:prstGeom prst="leftArrow">
          <a:avLst/>
        </a:prstGeom>
        <a:solidFill>
          <a:srgbClr val="99CC33"/>
        </a:solidFill>
        <a:ln>
          <a:noFill/>
        </a:ln>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800" b="1">
              <a:ln>
                <a:noFill/>
              </a:ln>
              <a:latin typeface="Verdana" panose="020B0604030504040204" pitchFamily="34" charset="0"/>
              <a:ea typeface="Verdana" panose="020B0604030504040204" pitchFamily="34" charset="0"/>
              <a:cs typeface="Verdana" panose="020B0604030504040204" pitchFamily="34" charset="0"/>
            </a:rPr>
            <a:t>Back to Instructions</a:t>
          </a:r>
        </a:p>
      </xdr:txBody>
    </xdr:sp>
    <xdr:clientData/>
  </xdr:twoCellAnchor>
  <xdr:twoCellAnchor>
    <xdr:from>
      <xdr:col>6</xdr:col>
      <xdr:colOff>285750</xdr:colOff>
      <xdr:row>0</xdr:row>
      <xdr:rowOff>19050</xdr:rowOff>
    </xdr:from>
    <xdr:to>
      <xdr:col>9</xdr:col>
      <xdr:colOff>279400</xdr:colOff>
      <xdr:row>1</xdr:row>
      <xdr:rowOff>12700</xdr:rowOff>
    </xdr:to>
    <xdr:sp macro="" textlink="">
      <xdr:nvSpPr>
        <xdr:cNvPr id="3" name="Right Arrow 2">
          <a:hlinkClick xmlns:r="http://schemas.openxmlformats.org/officeDocument/2006/relationships" r:id="rId2"/>
          <a:extLst>
            <a:ext uri="{FF2B5EF4-FFF2-40B4-BE49-F238E27FC236}">
              <a16:creationId xmlns:a16="http://schemas.microsoft.com/office/drawing/2014/main" id="{00000000-0008-0000-0400-000003000000}"/>
            </a:ext>
          </a:extLst>
        </xdr:cNvPr>
        <xdr:cNvSpPr/>
      </xdr:nvSpPr>
      <xdr:spPr>
        <a:xfrm>
          <a:off x="9029700" y="19050"/>
          <a:ext cx="1822450" cy="336550"/>
        </a:xfrm>
        <a:prstGeom prst="rightArrow">
          <a:avLst/>
        </a:prstGeom>
        <a:solidFill>
          <a:srgbClr val="99CC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i="0">
              <a:solidFill>
                <a:schemeClr val="bg1"/>
              </a:solidFill>
              <a:latin typeface="Verdana" panose="020B0604030504040204" pitchFamily="34" charset="0"/>
              <a:ea typeface="Verdana" panose="020B0604030504040204" pitchFamily="34" charset="0"/>
              <a:cs typeface="Verdana" panose="020B0604030504040204" pitchFamily="34" charset="0"/>
            </a:rPr>
            <a:t>Testing Effort Break-Up</a:t>
          </a:r>
          <a:endParaRPr lang="en-US" sz="800" b="1">
            <a:solidFill>
              <a:schemeClr val="bg1"/>
            </a:solidFill>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2</xdr:col>
      <xdr:colOff>3987800</xdr:colOff>
      <xdr:row>0</xdr:row>
      <xdr:rowOff>76200</xdr:rowOff>
    </xdr:from>
    <xdr:to>
      <xdr:col>3</xdr:col>
      <xdr:colOff>1168400</xdr:colOff>
      <xdr:row>0</xdr:row>
      <xdr:rowOff>260350</xdr:rowOff>
    </xdr:to>
    <xdr:sp macro="[0]!GenerateSummary" textlink="">
      <xdr:nvSpPr>
        <xdr:cNvPr id="4" name="Rectangle 3">
          <a:extLst>
            <a:ext uri="{FF2B5EF4-FFF2-40B4-BE49-F238E27FC236}">
              <a16:creationId xmlns:a16="http://schemas.microsoft.com/office/drawing/2014/main" id="{00000000-0008-0000-0400-000004000000}"/>
            </a:ext>
          </a:extLst>
        </xdr:cNvPr>
        <xdr:cNvSpPr/>
      </xdr:nvSpPr>
      <xdr:spPr>
        <a:xfrm>
          <a:off x="4279900" y="76200"/>
          <a:ext cx="1651000" cy="184150"/>
        </a:xfrm>
        <a:prstGeom prst="rect">
          <a:avLst/>
        </a:prstGeom>
        <a:solidFill>
          <a:srgbClr val="99CC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Generate Summary</a:t>
          </a:r>
          <a:endParaRPr lang="en-US" sz="1100"/>
        </a:p>
      </xdr:txBody>
    </xdr:sp>
    <xdr:clientData/>
  </xdr:twoCellAnchor>
  <xdr:twoCellAnchor>
    <xdr:from>
      <xdr:col>3</xdr:col>
      <xdr:colOff>1638300</xdr:colOff>
      <xdr:row>0</xdr:row>
      <xdr:rowOff>76200</xdr:rowOff>
    </xdr:from>
    <xdr:to>
      <xdr:col>4</xdr:col>
      <xdr:colOff>863600</xdr:colOff>
      <xdr:row>0</xdr:row>
      <xdr:rowOff>260350</xdr:rowOff>
    </xdr:to>
    <xdr:sp macro="[0]!ClearCells" textlink="">
      <xdr:nvSpPr>
        <xdr:cNvPr id="5" name="Rectangle 4">
          <a:extLst>
            <a:ext uri="{FF2B5EF4-FFF2-40B4-BE49-F238E27FC236}">
              <a16:creationId xmlns:a16="http://schemas.microsoft.com/office/drawing/2014/main" id="{00000000-0008-0000-0400-000005000000}"/>
            </a:ext>
          </a:extLst>
        </xdr:cNvPr>
        <xdr:cNvSpPr/>
      </xdr:nvSpPr>
      <xdr:spPr>
        <a:xfrm>
          <a:off x="6400800" y="76200"/>
          <a:ext cx="1651000" cy="184150"/>
        </a:xfrm>
        <a:prstGeom prst="rect">
          <a:avLst/>
        </a:prstGeom>
        <a:solidFill>
          <a:srgbClr val="99CC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Clear</a:t>
          </a:r>
          <a:r>
            <a:rPr lang="en-US" sz="1100" b="1" baseline="0">
              <a:solidFill>
                <a:schemeClr val="lt1"/>
              </a:solidFill>
              <a:effectLst/>
              <a:latin typeface="+mn-lt"/>
              <a:ea typeface="+mn-ea"/>
              <a:cs typeface="+mn-cs"/>
            </a:rPr>
            <a:t> Contents</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679450</xdr:colOff>
      <xdr:row>0</xdr:row>
      <xdr:rowOff>0</xdr:rowOff>
    </xdr:from>
    <xdr:to>
      <xdr:col>5</xdr:col>
      <xdr:colOff>1270000</xdr:colOff>
      <xdr:row>0</xdr:row>
      <xdr:rowOff>340360</xdr:rowOff>
    </xdr:to>
    <xdr:sp macro="" textlink="">
      <xdr:nvSpPr>
        <xdr:cNvPr id="2" name="Left Arrow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555750" y="0"/>
          <a:ext cx="1460500" cy="340360"/>
        </a:xfrm>
        <a:prstGeom prst="leftArrow">
          <a:avLst/>
        </a:prstGeom>
        <a:solidFill>
          <a:srgbClr val="99CC33"/>
        </a:solidFill>
        <a:ln>
          <a:noFill/>
        </a:ln>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800" b="1">
              <a:ln>
                <a:noFill/>
              </a:ln>
              <a:latin typeface="Verdana" panose="020B0604030504040204" pitchFamily="34" charset="0"/>
              <a:ea typeface="Verdana" panose="020B0604030504040204" pitchFamily="34" charset="0"/>
              <a:cs typeface="Verdana" panose="020B0604030504040204" pitchFamily="34" charset="0"/>
            </a:rPr>
            <a:t>Back to </a:t>
          </a:r>
          <a:r>
            <a:rPr lang="en-US" sz="1100" b="1">
              <a:solidFill>
                <a:schemeClr val="lt1"/>
              </a:solidFill>
              <a:effectLst/>
              <a:latin typeface="+mn-lt"/>
              <a:ea typeface="+mn-ea"/>
              <a:cs typeface="+mn-cs"/>
            </a:rPr>
            <a:t>Instructions</a:t>
          </a:r>
          <a:endParaRPr lang="en-US" sz="800" b="1">
            <a:ln>
              <a:noFill/>
            </a:ln>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8</xdr:col>
      <xdr:colOff>266700</xdr:colOff>
      <xdr:row>0</xdr:row>
      <xdr:rowOff>57150</xdr:rowOff>
    </xdr:from>
    <xdr:to>
      <xdr:col>8</xdr:col>
      <xdr:colOff>1860550</xdr:colOff>
      <xdr:row>0</xdr:row>
      <xdr:rowOff>241300</xdr:rowOff>
    </xdr:to>
    <xdr:sp macro="[0]!HandleAdditionalCycles" textlink="">
      <xdr:nvSpPr>
        <xdr:cNvPr id="4" name="Rectangle 3">
          <a:extLst>
            <a:ext uri="{FF2B5EF4-FFF2-40B4-BE49-F238E27FC236}">
              <a16:creationId xmlns:a16="http://schemas.microsoft.com/office/drawing/2014/main" id="{00000000-0008-0000-0500-000004000000}"/>
            </a:ext>
          </a:extLst>
        </xdr:cNvPr>
        <xdr:cNvSpPr/>
      </xdr:nvSpPr>
      <xdr:spPr>
        <a:xfrm>
          <a:off x="4959350" y="57150"/>
          <a:ext cx="1593850" cy="184150"/>
        </a:xfrm>
        <a:prstGeom prst="rect">
          <a:avLst/>
        </a:prstGeom>
        <a:solidFill>
          <a:srgbClr val="99CC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Review Total Efforts</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7030A0"/>
  </sheetPr>
  <dimension ref="A1:N31"/>
  <sheetViews>
    <sheetView showGridLines="0" zoomScale="70" zoomScaleNormal="70" workbookViewId="0">
      <pane ySplit="14" topLeftCell="A16" activePane="bottomLeft" state="frozen"/>
      <selection pane="bottomLeft" activeCell="E16" sqref="E16:F16"/>
    </sheetView>
  </sheetViews>
  <sheetFormatPr defaultColWidth="8.7265625" defaultRowHeight="13.5" x14ac:dyDescent="0.35"/>
  <cols>
    <col min="1" max="1" width="6.54296875" style="42" customWidth="1"/>
    <col min="2" max="2" width="16.54296875" style="42" customWidth="1"/>
    <col min="3" max="3" width="15.81640625" style="42" customWidth="1"/>
    <col min="4" max="4" width="15.26953125" style="42" customWidth="1"/>
    <col min="5" max="12" width="18.54296875" style="42" customWidth="1"/>
    <col min="13" max="13" width="8.453125" style="42" customWidth="1"/>
    <col min="14" max="16384" width="8.7265625" style="42"/>
  </cols>
  <sheetData>
    <row r="1" spans="1:14" ht="26.5" customHeight="1" x14ac:dyDescent="0.35">
      <c r="A1" s="66"/>
      <c r="B1" s="1" t="s">
        <v>0</v>
      </c>
      <c r="C1" s="41"/>
      <c r="D1" s="41"/>
      <c r="E1" s="41"/>
      <c r="F1" s="41"/>
      <c r="G1" s="41"/>
      <c r="H1" s="41"/>
      <c r="I1" s="41"/>
      <c r="J1" s="41"/>
      <c r="K1" s="40"/>
      <c r="L1" s="40"/>
      <c r="M1" s="40"/>
      <c r="N1" s="40"/>
    </row>
    <row r="2" spans="1:14" ht="9" customHeight="1" x14ac:dyDescent="0.35">
      <c r="A2" s="40"/>
      <c r="B2" s="43"/>
      <c r="C2" s="43"/>
      <c r="D2" s="43"/>
      <c r="E2" s="43"/>
      <c r="F2" s="43"/>
      <c r="G2" s="43"/>
      <c r="H2" s="43"/>
      <c r="I2" s="43"/>
      <c r="J2" s="43"/>
      <c r="K2" s="43"/>
      <c r="L2" s="43"/>
      <c r="M2" s="40"/>
      <c r="N2" s="40"/>
    </row>
    <row r="3" spans="1:14" ht="14.5" customHeight="1" x14ac:dyDescent="0.35">
      <c r="A3" s="40"/>
      <c r="B3" s="88" t="s">
        <v>1</v>
      </c>
      <c r="C3" s="88"/>
      <c r="D3" s="88"/>
      <c r="E3" s="88"/>
      <c r="F3" s="88"/>
      <c r="G3" s="88"/>
      <c r="H3" s="88"/>
      <c r="I3" s="88"/>
      <c r="J3" s="88"/>
      <c r="K3" s="88"/>
      <c r="L3" s="88"/>
      <c r="M3" s="40"/>
      <c r="N3" s="40"/>
    </row>
    <row r="4" spans="1:14" ht="10" customHeight="1" x14ac:dyDescent="0.35">
      <c r="A4" s="40"/>
      <c r="B4" s="88"/>
      <c r="C4" s="88"/>
      <c r="D4" s="88"/>
      <c r="E4" s="88"/>
      <c r="F4" s="88"/>
      <c r="G4" s="88"/>
      <c r="H4" s="88"/>
      <c r="I4" s="88"/>
      <c r="J4" s="88"/>
      <c r="K4" s="88"/>
      <c r="L4" s="88"/>
      <c r="M4" s="40"/>
      <c r="N4" s="40"/>
    </row>
    <row r="5" spans="1:14" ht="9" customHeight="1" x14ac:dyDescent="0.35">
      <c r="A5" s="40"/>
      <c r="B5" s="88"/>
      <c r="C5" s="88"/>
      <c r="D5" s="88"/>
      <c r="E5" s="88"/>
      <c r="F5" s="88"/>
      <c r="G5" s="88"/>
      <c r="H5" s="88"/>
      <c r="I5" s="88"/>
      <c r="J5" s="88"/>
      <c r="K5" s="88"/>
      <c r="L5" s="88"/>
      <c r="M5" s="40"/>
      <c r="N5" s="40"/>
    </row>
    <row r="6" spans="1:14" ht="9.65" customHeight="1" x14ac:dyDescent="0.35">
      <c r="A6" s="40"/>
      <c r="B6" s="88"/>
      <c r="C6" s="88"/>
      <c r="D6" s="88"/>
      <c r="E6" s="88"/>
      <c r="F6" s="88"/>
      <c r="G6" s="88"/>
      <c r="H6" s="88"/>
      <c r="I6" s="88"/>
      <c r="J6" s="88"/>
      <c r="K6" s="88"/>
      <c r="L6" s="88"/>
      <c r="M6" s="40"/>
      <c r="N6" s="40"/>
    </row>
    <row r="7" spans="1:14" x14ac:dyDescent="0.35">
      <c r="A7" s="40"/>
      <c r="B7" s="88"/>
      <c r="C7" s="88"/>
      <c r="D7" s="88"/>
      <c r="E7" s="88"/>
      <c r="F7" s="88"/>
      <c r="G7" s="88"/>
      <c r="H7" s="88"/>
      <c r="I7" s="88"/>
      <c r="J7" s="88"/>
      <c r="K7" s="88"/>
      <c r="L7" s="88"/>
      <c r="M7" s="40"/>
      <c r="N7" s="40"/>
    </row>
    <row r="8" spans="1:14" x14ac:dyDescent="0.35">
      <c r="A8" s="40"/>
      <c r="B8" s="44"/>
      <c r="C8" s="44"/>
      <c r="D8" s="44"/>
      <c r="E8" s="44"/>
      <c r="F8" s="44"/>
      <c r="G8" s="44"/>
      <c r="H8" s="44"/>
      <c r="I8" s="44"/>
      <c r="J8" s="44"/>
      <c r="K8" s="40"/>
      <c r="L8" s="40"/>
      <c r="M8" s="40"/>
      <c r="N8" s="40"/>
    </row>
    <row r="9" spans="1:14" ht="16.5" customHeight="1" x14ac:dyDescent="0.35">
      <c r="A9" s="40"/>
      <c r="B9" s="44"/>
      <c r="C9" s="87"/>
      <c r="D9" s="87"/>
      <c r="E9" s="87"/>
      <c r="F9" s="87"/>
      <c r="G9" s="87"/>
      <c r="H9" s="87"/>
      <c r="I9" s="87"/>
      <c r="J9" s="87"/>
      <c r="K9" s="87"/>
      <c r="L9" s="87"/>
      <c r="M9" s="40"/>
      <c r="N9" s="40"/>
    </row>
    <row r="10" spans="1:14" x14ac:dyDescent="0.35">
      <c r="A10" s="40"/>
      <c r="B10" s="44"/>
      <c r="C10" s="44"/>
      <c r="D10" s="44"/>
      <c r="E10" s="44"/>
      <c r="F10" s="44"/>
      <c r="G10" s="44"/>
      <c r="H10" s="44"/>
      <c r="I10" s="44"/>
      <c r="J10" s="44"/>
      <c r="K10" s="40"/>
      <c r="L10" s="40"/>
      <c r="M10" s="40"/>
      <c r="N10" s="40"/>
    </row>
    <row r="11" spans="1:14" x14ac:dyDescent="0.35">
      <c r="A11" s="40"/>
      <c r="B11" s="44"/>
      <c r="C11" s="44"/>
      <c r="D11" s="44"/>
      <c r="E11" s="44"/>
      <c r="F11" s="44"/>
      <c r="G11" s="44"/>
      <c r="H11" s="44"/>
      <c r="I11" s="44"/>
      <c r="J11" s="44"/>
      <c r="K11" s="40"/>
      <c r="L11" s="40"/>
      <c r="M11" s="40"/>
      <c r="N11" s="40"/>
    </row>
    <row r="12" spans="1:14" ht="14.15" customHeight="1" x14ac:dyDescent="0.35">
      <c r="A12" s="40"/>
      <c r="B12" s="44"/>
      <c r="C12" s="44"/>
      <c r="D12" s="44"/>
      <c r="E12" s="44"/>
      <c r="F12" s="44"/>
      <c r="G12" s="44"/>
      <c r="H12" s="44"/>
      <c r="I12" s="44"/>
      <c r="J12" s="44"/>
      <c r="K12" s="40"/>
      <c r="L12" s="40"/>
      <c r="M12" s="40"/>
      <c r="N12" s="40"/>
    </row>
    <row r="13" spans="1:14" ht="22.5" customHeight="1" x14ac:dyDescent="0.35">
      <c r="A13" s="40"/>
      <c r="B13" s="44"/>
      <c r="C13" s="44"/>
      <c r="D13" s="44"/>
      <c r="E13" s="44"/>
      <c r="F13" s="44"/>
      <c r="G13" s="44"/>
      <c r="H13" s="44"/>
      <c r="I13" s="44"/>
      <c r="J13" s="44"/>
      <c r="K13" s="40"/>
      <c r="L13" s="40"/>
      <c r="M13" s="40"/>
      <c r="N13" s="40"/>
    </row>
    <row r="14" spans="1:14" x14ac:dyDescent="0.35">
      <c r="A14" s="40"/>
      <c r="B14" s="44"/>
      <c r="C14" s="44"/>
      <c r="D14" s="44"/>
      <c r="E14" s="44"/>
      <c r="F14" s="44"/>
      <c r="G14" s="44"/>
      <c r="H14" s="44"/>
      <c r="I14" s="44"/>
      <c r="J14" s="44"/>
      <c r="K14" s="40"/>
      <c r="L14" s="40"/>
      <c r="M14" s="40"/>
      <c r="N14" s="40"/>
    </row>
    <row r="15" spans="1:14" ht="246" customHeight="1" x14ac:dyDescent="0.35">
      <c r="A15" s="40"/>
      <c r="B15" s="38" t="s">
        <v>2</v>
      </c>
      <c r="C15" s="90" t="s">
        <v>3</v>
      </c>
      <c r="D15" s="90"/>
      <c r="E15" s="89" t="s">
        <v>4</v>
      </c>
      <c r="F15" s="89"/>
      <c r="G15" s="89" t="s">
        <v>159</v>
      </c>
      <c r="H15" s="89"/>
      <c r="I15" s="89" t="s">
        <v>5</v>
      </c>
      <c r="J15" s="89"/>
      <c r="K15" s="89" t="s">
        <v>6</v>
      </c>
      <c r="L15" s="89"/>
      <c r="M15" s="40"/>
      <c r="N15" s="40"/>
    </row>
    <row r="16" spans="1:14" ht="305.5" customHeight="1" x14ac:dyDescent="0.35">
      <c r="A16" s="40"/>
      <c r="B16" s="39" t="s">
        <v>7</v>
      </c>
      <c r="C16" s="91" t="s">
        <v>160</v>
      </c>
      <c r="D16" s="91"/>
      <c r="E16" s="92" t="s">
        <v>161</v>
      </c>
      <c r="F16" s="93"/>
      <c r="G16" s="92" t="s">
        <v>162</v>
      </c>
      <c r="H16" s="93"/>
      <c r="I16" s="94" t="s">
        <v>8</v>
      </c>
      <c r="J16" s="95"/>
      <c r="K16" s="96" t="s">
        <v>9</v>
      </c>
      <c r="L16" s="93"/>
      <c r="M16" s="40"/>
      <c r="N16" s="40"/>
    </row>
    <row r="17" spans="1:14" x14ac:dyDescent="0.35">
      <c r="A17" s="40"/>
      <c r="B17" s="44"/>
      <c r="C17" s="44"/>
      <c r="D17" s="44"/>
      <c r="E17" s="44"/>
      <c r="F17" s="44"/>
      <c r="G17" s="44"/>
      <c r="H17" s="44"/>
      <c r="I17" s="44"/>
      <c r="J17" s="44"/>
      <c r="K17" s="40"/>
      <c r="L17" s="40"/>
      <c r="M17" s="40"/>
      <c r="N17" s="40"/>
    </row>
    <row r="18" spans="1:14" x14ac:dyDescent="0.35">
      <c r="A18" s="40"/>
      <c r="B18" s="44"/>
      <c r="C18" s="44"/>
      <c r="D18" s="44"/>
      <c r="E18" s="44"/>
      <c r="F18" s="44"/>
      <c r="G18" s="44"/>
      <c r="H18" s="44"/>
      <c r="I18" s="44"/>
      <c r="J18" s="44"/>
      <c r="K18" s="40"/>
      <c r="L18" s="40"/>
      <c r="M18" s="40"/>
      <c r="N18" s="40"/>
    </row>
    <row r="19" spans="1:14" x14ac:dyDescent="0.35">
      <c r="A19" s="40"/>
      <c r="B19" s="44"/>
      <c r="C19" s="44"/>
      <c r="D19" s="44"/>
      <c r="E19" s="44"/>
      <c r="F19" s="44"/>
      <c r="G19" s="44"/>
      <c r="H19" s="44"/>
      <c r="I19" s="44"/>
      <c r="J19" s="44"/>
      <c r="K19" s="40"/>
      <c r="L19" s="40"/>
      <c r="M19" s="40"/>
      <c r="N19" s="40"/>
    </row>
    <row r="20" spans="1:14" x14ac:dyDescent="0.35">
      <c r="A20" s="40"/>
      <c r="B20" s="44"/>
      <c r="C20" s="44"/>
      <c r="D20" s="44"/>
      <c r="E20" s="44"/>
      <c r="F20" s="44"/>
      <c r="G20" s="44"/>
      <c r="H20" s="44"/>
      <c r="I20" s="44"/>
      <c r="J20" s="44"/>
      <c r="K20" s="40"/>
      <c r="L20" s="40"/>
      <c r="M20" s="40"/>
      <c r="N20" s="40"/>
    </row>
    <row r="31" spans="1:14" x14ac:dyDescent="0.35">
      <c r="B31" s="67"/>
    </row>
  </sheetData>
  <protectedRanges>
    <protectedRange sqref="B3" name="Range2"/>
    <protectedRange sqref="B15:L16" name="Range1"/>
  </protectedRanges>
  <mergeCells count="12">
    <mergeCell ref="C16:D16"/>
    <mergeCell ref="E16:F16"/>
    <mergeCell ref="G16:H16"/>
    <mergeCell ref="I16:J16"/>
    <mergeCell ref="K16:L16"/>
    <mergeCell ref="C9:L9"/>
    <mergeCell ref="B3:L7"/>
    <mergeCell ref="G15:H15"/>
    <mergeCell ref="I15:J15"/>
    <mergeCell ref="K15:L15"/>
    <mergeCell ref="C15:D15"/>
    <mergeCell ref="E15:F15"/>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611"/>
  </sheetPr>
  <dimension ref="A1:N28"/>
  <sheetViews>
    <sheetView zoomScale="70" zoomScaleNormal="70" workbookViewId="0">
      <pane ySplit="7" topLeftCell="A8" activePane="bottomLeft" state="frozen"/>
      <selection pane="bottomLeft" activeCell="E8" sqref="E8:F8"/>
    </sheetView>
  </sheetViews>
  <sheetFormatPr defaultColWidth="0" defaultRowHeight="14.5" zeroHeight="1" x14ac:dyDescent="0.35"/>
  <cols>
    <col min="1" max="1" width="12.1796875" style="37" customWidth="1"/>
    <col min="2" max="2" width="21.7265625" style="37" customWidth="1"/>
    <col min="3" max="8" width="12.54296875" style="37" customWidth="1"/>
    <col min="9" max="9" width="7" style="37" customWidth="1"/>
    <col min="10" max="10" width="5" style="37" customWidth="1"/>
    <col min="11" max="14" width="0" style="37" hidden="1" customWidth="1"/>
    <col min="15" max="16384" width="8.7265625" style="37" hidden="1"/>
  </cols>
  <sheetData>
    <row r="1" spans="1:13" ht="31" customHeight="1" x14ac:dyDescent="0.35">
      <c r="A1" s="36"/>
      <c r="B1" s="1" t="s">
        <v>0</v>
      </c>
      <c r="C1" s="45"/>
      <c r="D1" s="45"/>
      <c r="E1" s="46"/>
      <c r="F1" s="46"/>
      <c r="G1" s="46"/>
      <c r="H1" s="46"/>
      <c r="I1" s="46"/>
      <c r="J1" s="46"/>
    </row>
    <row r="2" spans="1:13" ht="7.5" customHeight="1" x14ac:dyDescent="0.35">
      <c r="A2" s="36"/>
      <c r="B2" s="47"/>
      <c r="C2" s="47"/>
      <c r="D2" s="47"/>
      <c r="E2" s="47"/>
      <c r="F2" s="47"/>
      <c r="G2" s="47"/>
      <c r="H2" s="47"/>
      <c r="I2" s="36"/>
      <c r="J2" s="36"/>
    </row>
    <row r="3" spans="1:13" ht="21" x14ac:dyDescent="0.35">
      <c r="A3" s="36"/>
      <c r="B3" s="115" t="s">
        <v>10</v>
      </c>
      <c r="C3" s="115"/>
      <c r="D3" s="115"/>
      <c r="E3" s="115"/>
      <c r="F3" s="115"/>
      <c r="G3" s="115"/>
      <c r="H3" s="115"/>
      <c r="I3" s="36"/>
      <c r="J3" s="36"/>
    </row>
    <row r="4" spans="1:13" x14ac:dyDescent="0.35">
      <c r="A4" s="36"/>
      <c r="B4" s="116" t="s">
        <v>11</v>
      </c>
      <c r="C4" s="116"/>
      <c r="D4" s="116"/>
      <c r="E4" s="116"/>
      <c r="F4" s="116"/>
      <c r="G4" s="116"/>
      <c r="H4" s="116"/>
      <c r="I4" s="36"/>
      <c r="J4" s="36"/>
    </row>
    <row r="5" spans="1:13" x14ac:dyDescent="0.35">
      <c r="A5" s="36"/>
      <c r="B5" s="40"/>
      <c r="C5" s="40"/>
      <c r="D5" s="40"/>
      <c r="E5" s="40"/>
      <c r="F5" s="40"/>
      <c r="G5" s="40"/>
      <c r="H5" s="40"/>
      <c r="I5" s="40"/>
      <c r="J5" s="40"/>
    </row>
    <row r="6" spans="1:13" x14ac:dyDescent="0.35">
      <c r="A6" s="36"/>
      <c r="B6" s="100" t="s">
        <v>12</v>
      </c>
      <c r="C6" s="102" t="s">
        <v>13</v>
      </c>
      <c r="D6" s="102"/>
      <c r="E6" s="102" t="s">
        <v>14</v>
      </c>
      <c r="F6" s="102"/>
      <c r="G6" s="102" t="s">
        <v>15</v>
      </c>
      <c r="H6" s="104"/>
      <c r="I6" s="36"/>
      <c r="J6" s="36"/>
    </row>
    <row r="7" spans="1:13" ht="8.5" customHeight="1" x14ac:dyDescent="0.35">
      <c r="A7" s="36"/>
      <c r="B7" s="101"/>
      <c r="C7" s="103"/>
      <c r="D7" s="103"/>
      <c r="E7" s="103"/>
      <c r="F7" s="103"/>
      <c r="G7" s="103"/>
      <c r="H7" s="105"/>
      <c r="I7" s="36"/>
      <c r="J7" s="36"/>
    </row>
    <row r="8" spans="1:13" ht="149.15" customHeight="1" x14ac:dyDescent="0.35">
      <c r="A8" s="36"/>
      <c r="B8" s="48" t="s">
        <v>16</v>
      </c>
      <c r="C8" s="106" t="s">
        <v>17</v>
      </c>
      <c r="D8" s="106"/>
      <c r="E8" s="106" t="s">
        <v>18</v>
      </c>
      <c r="F8" s="106"/>
      <c r="G8" s="106" t="s">
        <v>19</v>
      </c>
      <c r="H8" s="107"/>
      <c r="I8" s="36"/>
      <c r="J8" s="36"/>
      <c r="M8" s="37" t="s">
        <v>20</v>
      </c>
    </row>
    <row r="9" spans="1:13" ht="28" customHeight="1" x14ac:dyDescent="0.35">
      <c r="A9" s="36"/>
      <c r="B9" s="49" t="s">
        <v>21</v>
      </c>
      <c r="C9" s="98">
        <f>100/100</f>
        <v>1</v>
      </c>
      <c r="D9" s="98">
        <f>100/100</f>
        <v>1</v>
      </c>
      <c r="E9" s="98">
        <f>(75+ 50 +50)/100</f>
        <v>1.75</v>
      </c>
      <c r="F9" s="98">
        <f>(75+ 50 +50)/100</f>
        <v>1.75</v>
      </c>
      <c r="G9" s="98">
        <f>(60+80+80)/100</f>
        <v>2.2000000000000002</v>
      </c>
      <c r="H9" s="99">
        <f>(60+80+80)/100</f>
        <v>2.2000000000000002</v>
      </c>
      <c r="I9" s="36"/>
      <c r="J9" s="36"/>
    </row>
    <row r="10" spans="1:13" ht="7" customHeight="1" x14ac:dyDescent="0.35">
      <c r="A10" s="36"/>
      <c r="B10" s="36"/>
      <c r="C10" s="36"/>
      <c r="D10" s="36"/>
      <c r="E10" s="36"/>
      <c r="F10" s="36"/>
      <c r="G10" s="36"/>
      <c r="H10" s="36"/>
      <c r="I10" s="36"/>
      <c r="J10" s="36"/>
    </row>
    <row r="11" spans="1:13" ht="73" customHeight="1" x14ac:dyDescent="0.35">
      <c r="A11" s="36"/>
      <c r="B11" s="50" t="s">
        <v>22</v>
      </c>
      <c r="C11" s="109" t="s">
        <v>23</v>
      </c>
      <c r="D11" s="110"/>
      <c r="E11" s="109" t="s">
        <v>24</v>
      </c>
      <c r="F11" s="110"/>
      <c r="G11" s="109" t="s">
        <v>25</v>
      </c>
      <c r="H11" s="111"/>
      <c r="I11" s="36"/>
      <c r="J11" s="36"/>
    </row>
    <row r="12" spans="1:13" ht="26.15" customHeight="1" x14ac:dyDescent="0.35">
      <c r="A12" s="36"/>
      <c r="B12" s="49" t="s">
        <v>21</v>
      </c>
      <c r="C12" s="112">
        <v>1</v>
      </c>
      <c r="D12" s="113"/>
      <c r="E12" s="112">
        <f>(80+20*2)/100</f>
        <v>1.2</v>
      </c>
      <c r="F12" s="113">
        <f>(80+20*2)/100</f>
        <v>1.2</v>
      </c>
      <c r="G12" s="112">
        <f>(60+40*3.5)/100</f>
        <v>2</v>
      </c>
      <c r="H12" s="114">
        <f>(60+40*4)/100</f>
        <v>2.2000000000000002</v>
      </c>
      <c r="I12" s="36"/>
      <c r="J12" s="36"/>
    </row>
    <row r="13" spans="1:13" ht="7" customHeight="1" x14ac:dyDescent="0.35">
      <c r="A13" s="36"/>
      <c r="B13" s="36"/>
      <c r="C13" s="36"/>
      <c r="D13" s="36"/>
      <c r="E13" s="36"/>
      <c r="F13" s="36"/>
      <c r="G13" s="36"/>
      <c r="H13" s="36"/>
      <c r="I13" s="36"/>
      <c r="J13" s="36"/>
    </row>
    <row r="14" spans="1:13" ht="46.5" customHeight="1" x14ac:dyDescent="0.35">
      <c r="A14" s="36"/>
      <c r="B14" s="51" t="s">
        <v>26</v>
      </c>
      <c r="C14" s="97" t="s">
        <v>27</v>
      </c>
      <c r="D14" s="97"/>
      <c r="E14" s="97" t="s">
        <v>28</v>
      </c>
      <c r="F14" s="97"/>
      <c r="G14" s="97" t="s">
        <v>29</v>
      </c>
      <c r="H14" s="97"/>
      <c r="I14" s="36"/>
      <c r="J14" s="36"/>
    </row>
    <row r="15" spans="1:13" ht="27" x14ac:dyDescent="0.35">
      <c r="A15" s="36"/>
      <c r="B15" s="49" t="s">
        <v>30</v>
      </c>
      <c r="C15" s="98">
        <v>1</v>
      </c>
      <c r="D15" s="98"/>
      <c r="E15" s="98">
        <v>1.5</v>
      </c>
      <c r="F15" s="98"/>
      <c r="G15" s="98">
        <v>2</v>
      </c>
      <c r="H15" s="99"/>
      <c r="I15" s="36"/>
      <c r="J15" s="36"/>
    </row>
    <row r="16" spans="1:13" ht="7" customHeight="1" x14ac:dyDescent="0.35">
      <c r="A16" s="36"/>
      <c r="B16" s="36"/>
      <c r="C16" s="36"/>
      <c r="D16" s="36"/>
      <c r="E16" s="36"/>
      <c r="F16" s="36"/>
      <c r="G16" s="36"/>
      <c r="H16" s="36"/>
      <c r="I16" s="36"/>
      <c r="J16" s="36"/>
    </row>
    <row r="17" spans="1:10" ht="73" customHeight="1" x14ac:dyDescent="0.35">
      <c r="A17" s="36"/>
      <c r="B17" s="51" t="s">
        <v>31</v>
      </c>
      <c r="C17" s="97" t="s">
        <v>32</v>
      </c>
      <c r="D17" s="97"/>
      <c r="E17" s="97" t="s">
        <v>33</v>
      </c>
      <c r="F17" s="97"/>
      <c r="G17" s="97" t="s">
        <v>34</v>
      </c>
      <c r="H17" s="108"/>
      <c r="I17" s="36"/>
      <c r="J17" s="36"/>
    </row>
    <row r="18" spans="1:10" ht="27" x14ac:dyDescent="0.35">
      <c r="A18" s="36"/>
      <c r="B18" s="49" t="s">
        <v>30</v>
      </c>
      <c r="C18" s="98">
        <v>2</v>
      </c>
      <c r="D18" s="98"/>
      <c r="E18" s="98">
        <v>4</v>
      </c>
      <c r="F18" s="98"/>
      <c r="G18" s="98">
        <v>6</v>
      </c>
      <c r="H18" s="99"/>
      <c r="I18" s="36"/>
      <c r="J18" s="36"/>
    </row>
    <row r="19" spans="1:10" ht="10" customHeight="1" x14ac:dyDescent="0.35">
      <c r="A19" s="36"/>
      <c r="B19" s="36"/>
      <c r="C19" s="36"/>
      <c r="D19" s="36"/>
      <c r="E19" s="36"/>
      <c r="F19" s="36"/>
      <c r="G19" s="36"/>
      <c r="H19" s="36"/>
      <c r="I19" s="36"/>
      <c r="J19" s="36"/>
    </row>
    <row r="20" spans="1:10" ht="12" customHeight="1" x14ac:dyDescent="0.35">
      <c r="A20" s="36"/>
      <c r="B20" s="100" t="s">
        <v>12</v>
      </c>
      <c r="C20" s="102" t="s">
        <v>35</v>
      </c>
      <c r="D20" s="102"/>
      <c r="E20" s="102"/>
      <c r="F20" s="102" t="s">
        <v>36</v>
      </c>
      <c r="G20" s="102"/>
      <c r="H20" s="104"/>
      <c r="I20" s="36"/>
      <c r="J20" s="36"/>
    </row>
    <row r="21" spans="1:10" ht="5.15" customHeight="1" x14ac:dyDescent="0.35">
      <c r="A21" s="36"/>
      <c r="B21" s="101"/>
      <c r="C21" s="103"/>
      <c r="D21" s="103"/>
      <c r="E21" s="103"/>
      <c r="F21" s="103"/>
      <c r="G21" s="103"/>
      <c r="H21" s="105"/>
      <c r="I21" s="36"/>
      <c r="J21" s="36"/>
    </row>
    <row r="22" spans="1:10" ht="42.65" customHeight="1" x14ac:dyDescent="0.35">
      <c r="A22" s="36"/>
      <c r="B22" s="48" t="s">
        <v>37</v>
      </c>
      <c r="C22" s="106" t="s">
        <v>38</v>
      </c>
      <c r="D22" s="106"/>
      <c r="E22" s="106"/>
      <c r="F22" s="106" t="s">
        <v>39</v>
      </c>
      <c r="G22" s="106"/>
      <c r="H22" s="107"/>
      <c r="I22" s="36"/>
      <c r="J22" s="36"/>
    </row>
    <row r="23" spans="1:10" ht="22.5" customHeight="1" x14ac:dyDescent="0.35">
      <c r="A23" s="36"/>
      <c r="B23" s="49" t="s">
        <v>21</v>
      </c>
      <c r="C23" s="98">
        <v>0</v>
      </c>
      <c r="D23" s="98"/>
      <c r="E23" s="98"/>
      <c r="F23" s="98">
        <f>20*2/100</f>
        <v>0.4</v>
      </c>
      <c r="G23" s="98"/>
      <c r="H23" s="99"/>
      <c r="I23" s="36"/>
      <c r="J23" s="36"/>
    </row>
    <row r="24" spans="1:10" x14ac:dyDescent="0.35">
      <c r="A24" s="36"/>
      <c r="B24" s="36"/>
      <c r="C24" s="36"/>
      <c r="D24" s="36"/>
      <c r="E24" s="36"/>
      <c r="F24" s="36"/>
      <c r="G24" s="36"/>
      <c r="H24" s="36"/>
      <c r="I24" s="36"/>
      <c r="J24" s="36"/>
    </row>
    <row r="25" spans="1:10" x14ac:dyDescent="0.35">
      <c r="A25" s="36"/>
      <c r="B25" s="36"/>
      <c r="C25" s="36"/>
      <c r="D25" s="36"/>
      <c r="E25" s="36"/>
      <c r="F25" s="36"/>
      <c r="G25" s="36"/>
      <c r="H25" s="36"/>
      <c r="I25" s="36"/>
      <c r="J25" s="36"/>
    </row>
    <row r="26" spans="1:10" x14ac:dyDescent="0.35"/>
    <row r="27" spans="1:10" x14ac:dyDescent="0.35"/>
    <row r="28" spans="1:10" x14ac:dyDescent="0.35"/>
  </sheetData>
  <sheetProtection password="9DEC" sheet="1" objects="1" scenarios="1"/>
  <protectedRanges>
    <protectedRange sqref="C8:H9 C11:H12 C14:H15 C17:H18 C22:H23 B3:B4" name="Range1"/>
  </protectedRanges>
  <mergeCells count="37">
    <mergeCell ref="B3:H3"/>
    <mergeCell ref="B6:B7"/>
    <mergeCell ref="C6:D7"/>
    <mergeCell ref="E6:F7"/>
    <mergeCell ref="G6:H7"/>
    <mergeCell ref="B4:H4"/>
    <mergeCell ref="C8:D8"/>
    <mergeCell ref="E8:F8"/>
    <mergeCell ref="G8:H8"/>
    <mergeCell ref="C9:D9"/>
    <mergeCell ref="E9:F9"/>
    <mergeCell ref="G9:H9"/>
    <mergeCell ref="C11:D11"/>
    <mergeCell ref="E11:F11"/>
    <mergeCell ref="G11:H11"/>
    <mergeCell ref="C12:D12"/>
    <mergeCell ref="E12:F12"/>
    <mergeCell ref="G12:H12"/>
    <mergeCell ref="C17:D17"/>
    <mergeCell ref="E17:F17"/>
    <mergeCell ref="G17:H17"/>
    <mergeCell ref="C18:D18"/>
    <mergeCell ref="E18:F18"/>
    <mergeCell ref="G18:H18"/>
    <mergeCell ref="C23:E23"/>
    <mergeCell ref="F23:H23"/>
    <mergeCell ref="B20:B21"/>
    <mergeCell ref="C20:E21"/>
    <mergeCell ref="F20:H21"/>
    <mergeCell ref="C22:E22"/>
    <mergeCell ref="F22:H22"/>
    <mergeCell ref="C14:D14"/>
    <mergeCell ref="E14:F14"/>
    <mergeCell ref="G14:H14"/>
    <mergeCell ref="C15:D15"/>
    <mergeCell ref="E15:F15"/>
    <mergeCell ref="G15:H1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249977111117893"/>
  </sheetPr>
  <dimension ref="A1:N71"/>
  <sheetViews>
    <sheetView showGridLines="0" workbookViewId="0">
      <pane ySplit="3" topLeftCell="A33" activePane="bottomLeft" state="frozen"/>
      <selection pane="bottomLeft" activeCell="B39" sqref="B39"/>
    </sheetView>
  </sheetViews>
  <sheetFormatPr defaultColWidth="0" defaultRowHeight="14.5" zeroHeight="1" x14ac:dyDescent="0.35"/>
  <cols>
    <col min="1" max="1" width="4.7265625" customWidth="1"/>
    <col min="2" max="2" width="42.7265625" customWidth="1"/>
    <col min="3" max="3" width="27.1796875" customWidth="1"/>
    <col min="4" max="4" width="11.81640625" customWidth="1"/>
    <col min="5" max="5" width="15.1796875" customWidth="1"/>
    <col min="6" max="14" width="8.7265625" customWidth="1"/>
    <col min="15" max="16384" width="8.7265625" hidden="1"/>
  </cols>
  <sheetData>
    <row r="1" spans="1:13" ht="28.5" customHeight="1" x14ac:dyDescent="0.35">
      <c r="A1" s="7"/>
      <c r="B1" s="1" t="s">
        <v>0</v>
      </c>
      <c r="C1" s="5"/>
      <c r="D1" s="5"/>
      <c r="E1" s="5"/>
      <c r="F1" s="5"/>
      <c r="G1" s="5"/>
      <c r="H1" s="5"/>
      <c r="I1" s="5"/>
      <c r="J1" s="5"/>
      <c r="K1" s="7"/>
      <c r="L1" s="7"/>
      <c r="M1" s="7"/>
    </row>
    <row r="2" spans="1:13" ht="7.5" customHeight="1" x14ac:dyDescent="0.35">
      <c r="A2" s="6"/>
      <c r="B2" s="6"/>
      <c r="C2" s="6"/>
      <c r="D2" s="6"/>
      <c r="E2" s="6"/>
      <c r="F2" s="6"/>
      <c r="G2" s="6"/>
      <c r="H2" s="6"/>
      <c r="I2" s="6"/>
      <c r="J2" s="6"/>
      <c r="K2" s="6"/>
      <c r="L2" s="6"/>
      <c r="M2" s="6"/>
    </row>
    <row r="3" spans="1:13" ht="10.5" customHeight="1" x14ac:dyDescent="0.35">
      <c r="A3" s="7"/>
      <c r="B3" s="7"/>
      <c r="C3" s="7"/>
      <c r="D3" s="7"/>
      <c r="E3" s="7"/>
      <c r="F3" s="7"/>
      <c r="G3" s="7"/>
      <c r="H3" s="7"/>
      <c r="I3" s="7"/>
      <c r="J3" s="7"/>
      <c r="K3" s="7"/>
      <c r="L3" s="7"/>
      <c r="M3" s="7"/>
    </row>
    <row r="4" spans="1:13" ht="85.5" customHeight="1" x14ac:dyDescent="0.35">
      <c r="A4" s="7"/>
      <c r="B4" s="120" t="s">
        <v>40</v>
      </c>
      <c r="C4" s="121"/>
      <c r="D4" s="121"/>
      <c r="E4" s="121"/>
      <c r="F4" s="121"/>
      <c r="G4" s="121"/>
      <c r="H4" s="121"/>
      <c r="I4" s="121"/>
      <c r="J4" s="121"/>
      <c r="K4" s="7"/>
      <c r="L4" s="7"/>
      <c r="M4" s="7"/>
    </row>
    <row r="5" spans="1:13" x14ac:dyDescent="0.35">
      <c r="A5" s="7"/>
      <c r="B5" s="7"/>
      <c r="C5" s="7"/>
      <c r="D5" s="7"/>
      <c r="E5" s="7"/>
      <c r="F5" s="7"/>
      <c r="G5" s="7"/>
      <c r="H5" s="7"/>
      <c r="I5" s="7"/>
      <c r="J5" s="7"/>
      <c r="K5" s="7"/>
      <c r="L5" s="7"/>
      <c r="M5" s="7"/>
    </row>
    <row r="6" spans="1:13" ht="14.15" customHeight="1" x14ac:dyDescent="0.35">
      <c r="A6" s="7"/>
      <c r="B6" s="117" t="s">
        <v>41</v>
      </c>
      <c r="C6" s="118"/>
      <c r="D6" s="7"/>
      <c r="E6" s="7"/>
      <c r="F6" s="7"/>
      <c r="G6" s="7"/>
      <c r="H6" s="7"/>
      <c r="I6" s="7"/>
      <c r="J6" s="7"/>
      <c r="K6" s="7"/>
      <c r="L6" s="7"/>
      <c r="M6" s="7"/>
    </row>
    <row r="7" spans="1:13" x14ac:dyDescent="0.35">
      <c r="A7" s="7"/>
      <c r="B7" s="8" t="s">
        <v>42</v>
      </c>
      <c r="C7" s="9">
        <v>10</v>
      </c>
      <c r="D7" s="7"/>
      <c r="E7" s="7"/>
      <c r="F7" s="7"/>
      <c r="G7" s="7"/>
      <c r="H7" s="7"/>
      <c r="I7" s="7"/>
      <c r="J7" s="7"/>
      <c r="K7" s="7"/>
      <c r="L7" s="7"/>
      <c r="M7" s="7"/>
    </row>
    <row r="8" spans="1:13" x14ac:dyDescent="0.35">
      <c r="A8" s="7"/>
      <c r="B8" s="8" t="s">
        <v>43</v>
      </c>
      <c r="C8" s="61">
        <v>43466</v>
      </c>
      <c r="D8" s="7"/>
      <c r="E8" s="7"/>
      <c r="F8" s="7"/>
      <c r="G8" s="7"/>
      <c r="H8" s="7"/>
      <c r="I8" s="7"/>
      <c r="J8" s="7"/>
      <c r="K8" s="7"/>
      <c r="L8" s="7"/>
      <c r="M8" s="7"/>
    </row>
    <row r="9" spans="1:13" x14ac:dyDescent="0.35">
      <c r="A9" s="7"/>
      <c r="B9" s="60" t="s">
        <v>44</v>
      </c>
      <c r="C9" s="62">
        <f>C8+(C7*7)-1</f>
        <v>43535</v>
      </c>
      <c r="D9" s="7"/>
      <c r="E9" s="7"/>
      <c r="F9" s="7"/>
      <c r="G9" s="7"/>
      <c r="H9" s="7"/>
      <c r="I9" s="7"/>
      <c r="J9" s="7"/>
      <c r="K9" s="7"/>
      <c r="L9" s="7"/>
      <c r="M9" s="7"/>
    </row>
    <row r="10" spans="1:13" x14ac:dyDescent="0.35">
      <c r="A10" s="7"/>
      <c r="B10" s="60" t="s">
        <v>45</v>
      </c>
      <c r="C10" s="9">
        <v>4</v>
      </c>
      <c r="D10" s="7"/>
      <c r="E10" s="7"/>
      <c r="F10" s="7"/>
      <c r="G10" s="7"/>
      <c r="H10" s="7"/>
      <c r="I10" s="7"/>
      <c r="J10" s="7"/>
      <c r="K10" s="7"/>
      <c r="L10" s="7"/>
      <c r="M10" s="7"/>
    </row>
    <row r="11" spans="1:13" x14ac:dyDescent="0.35">
      <c r="A11" s="7"/>
      <c r="B11" s="7"/>
      <c r="C11" s="7"/>
      <c r="D11" s="7"/>
      <c r="E11" s="7"/>
      <c r="F11" s="7"/>
      <c r="G11" s="7"/>
      <c r="H11" s="7"/>
      <c r="I11" s="7"/>
      <c r="J11" s="7"/>
      <c r="K11" s="7"/>
      <c r="L11" s="7"/>
      <c r="M11" s="7"/>
    </row>
    <row r="12" spans="1:13" ht="42.65" customHeight="1" x14ac:dyDescent="0.35">
      <c r="A12" s="7"/>
      <c r="B12" s="56" t="s">
        <v>46</v>
      </c>
      <c r="C12" s="119" t="s">
        <v>47</v>
      </c>
      <c r="D12" s="119"/>
      <c r="E12" s="119"/>
      <c r="F12" s="119"/>
      <c r="G12" s="119"/>
      <c r="H12" s="119"/>
      <c r="I12" s="119"/>
      <c r="J12" s="119"/>
      <c r="K12" s="7"/>
      <c r="L12" s="7"/>
      <c r="M12" s="7"/>
    </row>
    <row r="13" spans="1:13" ht="51" customHeight="1" x14ac:dyDescent="0.35">
      <c r="A13" s="7"/>
      <c r="B13" s="17" t="s">
        <v>48</v>
      </c>
      <c r="C13" s="17" t="s">
        <v>49</v>
      </c>
      <c r="D13" s="17" t="s">
        <v>50</v>
      </c>
      <c r="E13" s="17" t="s">
        <v>163</v>
      </c>
      <c r="F13" s="7"/>
      <c r="G13" s="7"/>
      <c r="H13" s="7"/>
      <c r="I13" s="7"/>
      <c r="J13" s="7"/>
      <c r="K13" s="7"/>
      <c r="L13" s="7"/>
      <c r="M13" s="7"/>
    </row>
    <row r="14" spans="1:13" ht="27.5" x14ac:dyDescent="0.35">
      <c r="A14" s="7"/>
      <c r="B14" s="59" t="s">
        <v>51</v>
      </c>
      <c r="C14" s="58" t="s">
        <v>52</v>
      </c>
      <c r="D14" s="18" t="s">
        <v>53</v>
      </c>
      <c r="E14" s="19">
        <v>3</v>
      </c>
      <c r="F14" s="7"/>
      <c r="G14" s="7"/>
      <c r="H14" s="7"/>
      <c r="I14" s="7"/>
      <c r="J14" s="7"/>
      <c r="K14" s="7"/>
      <c r="L14" s="7"/>
      <c r="M14" s="7"/>
    </row>
    <row r="15" spans="1:13" ht="27.5" x14ac:dyDescent="0.35">
      <c r="A15" s="7"/>
      <c r="B15" s="58" t="s">
        <v>54</v>
      </c>
      <c r="C15" s="58" t="s">
        <v>52</v>
      </c>
      <c r="D15" s="18" t="s">
        <v>55</v>
      </c>
      <c r="E15" s="19">
        <v>2</v>
      </c>
      <c r="F15" s="7"/>
      <c r="G15" s="7"/>
      <c r="H15" s="7"/>
      <c r="I15" s="7"/>
      <c r="J15" s="7"/>
      <c r="K15" s="7"/>
      <c r="L15" s="7"/>
      <c r="M15" s="7"/>
    </row>
    <row r="16" spans="1:13" ht="27.5" x14ac:dyDescent="0.35">
      <c r="A16" s="7"/>
      <c r="B16" s="58" t="s">
        <v>164</v>
      </c>
      <c r="C16" s="58" t="s">
        <v>57</v>
      </c>
      <c r="D16" s="18" t="s">
        <v>53</v>
      </c>
      <c r="E16" s="19">
        <v>4</v>
      </c>
      <c r="F16" s="7"/>
      <c r="G16" s="7"/>
      <c r="H16" s="7"/>
      <c r="I16" s="7"/>
      <c r="J16" s="7"/>
      <c r="K16" s="7"/>
      <c r="L16" s="7"/>
      <c r="M16" s="7"/>
    </row>
    <row r="17" spans="1:13" x14ac:dyDescent="0.35">
      <c r="A17" s="7"/>
      <c r="B17" s="58" t="s">
        <v>58</v>
      </c>
      <c r="C17" s="58" t="s">
        <v>52</v>
      </c>
      <c r="D17" s="18" t="s">
        <v>55</v>
      </c>
      <c r="E17" s="19"/>
      <c r="F17" s="7"/>
      <c r="G17" s="7"/>
      <c r="H17" s="7"/>
      <c r="I17" s="7"/>
      <c r="J17" s="7"/>
      <c r="K17" s="7"/>
      <c r="L17" s="7"/>
      <c r="M17" s="7"/>
    </row>
    <row r="18" spans="1:13" x14ac:dyDescent="0.35">
      <c r="A18" s="7"/>
      <c r="B18" s="58" t="s">
        <v>59</v>
      </c>
      <c r="C18" s="58" t="s">
        <v>52</v>
      </c>
      <c r="D18" s="18" t="s">
        <v>55</v>
      </c>
      <c r="E18" s="19"/>
      <c r="F18" s="7"/>
      <c r="G18" s="7"/>
      <c r="H18" s="7"/>
      <c r="I18" s="7"/>
      <c r="J18" s="7"/>
      <c r="K18" s="7"/>
      <c r="L18" s="7"/>
      <c r="M18" s="7"/>
    </row>
    <row r="19" spans="1:13" x14ac:dyDescent="0.35">
      <c r="A19" s="7"/>
      <c r="B19" s="58" t="s">
        <v>60</v>
      </c>
      <c r="C19" s="58" t="s">
        <v>52</v>
      </c>
      <c r="D19" s="18" t="s">
        <v>55</v>
      </c>
      <c r="E19" s="19"/>
      <c r="F19" s="7"/>
      <c r="G19" s="7"/>
      <c r="H19" s="7"/>
      <c r="I19" s="7"/>
      <c r="J19" s="7"/>
      <c r="K19" s="7"/>
      <c r="L19" s="7"/>
      <c r="M19" s="7"/>
    </row>
    <row r="20" spans="1:13" x14ac:dyDescent="0.35">
      <c r="A20" s="7"/>
      <c r="B20" s="58" t="s">
        <v>61</v>
      </c>
      <c r="C20" s="58" t="s">
        <v>52</v>
      </c>
      <c r="D20" s="18" t="s">
        <v>55</v>
      </c>
      <c r="E20" s="19"/>
      <c r="F20" s="7"/>
      <c r="G20" s="7"/>
      <c r="H20" s="7"/>
      <c r="I20" s="7"/>
      <c r="J20" s="7"/>
      <c r="K20" s="7"/>
      <c r="L20" s="7"/>
      <c r="M20" s="7"/>
    </row>
    <row r="21" spans="1:13" x14ac:dyDescent="0.35">
      <c r="A21" s="7"/>
      <c r="B21" s="58" t="s">
        <v>62</v>
      </c>
      <c r="C21" s="58" t="s">
        <v>52</v>
      </c>
      <c r="D21" s="18" t="s">
        <v>55</v>
      </c>
      <c r="E21" s="19"/>
      <c r="F21" s="7"/>
      <c r="G21" s="7"/>
      <c r="H21" s="7"/>
      <c r="I21" s="7"/>
      <c r="J21" s="7"/>
      <c r="K21" s="7"/>
      <c r="L21" s="7"/>
      <c r="M21" s="7"/>
    </row>
    <row r="22" spans="1:13" ht="27.5" x14ac:dyDescent="0.35">
      <c r="A22" s="7"/>
      <c r="B22" s="58" t="s">
        <v>63</v>
      </c>
      <c r="C22" s="58" t="s">
        <v>64</v>
      </c>
      <c r="D22" s="18" t="s">
        <v>55</v>
      </c>
      <c r="E22" s="19"/>
      <c r="F22" s="7"/>
      <c r="G22" s="7"/>
      <c r="H22" s="7"/>
      <c r="I22" s="7"/>
      <c r="J22" s="7"/>
      <c r="K22" s="7"/>
      <c r="L22" s="7"/>
      <c r="M22" s="7"/>
    </row>
    <row r="23" spans="1:13" x14ac:dyDescent="0.35">
      <c r="A23" s="7"/>
      <c r="B23" s="58" t="s">
        <v>65</v>
      </c>
      <c r="C23" s="58" t="s">
        <v>52</v>
      </c>
      <c r="D23" s="18" t="s">
        <v>55</v>
      </c>
      <c r="E23" s="19"/>
      <c r="F23" s="7"/>
      <c r="G23" s="7"/>
      <c r="H23" s="7"/>
      <c r="I23" s="7"/>
      <c r="J23" s="7"/>
      <c r="K23" s="7"/>
      <c r="L23" s="7"/>
      <c r="M23" s="7"/>
    </row>
    <row r="24" spans="1:13" x14ac:dyDescent="0.35">
      <c r="A24" s="7"/>
      <c r="B24" s="58" t="s">
        <v>66</v>
      </c>
      <c r="C24" s="58" t="s">
        <v>52</v>
      </c>
      <c r="D24" s="18" t="s">
        <v>55</v>
      </c>
      <c r="E24" s="19"/>
      <c r="F24" s="7"/>
      <c r="G24" s="7"/>
      <c r="H24" s="7"/>
      <c r="I24" s="7"/>
      <c r="J24" s="7"/>
      <c r="K24" s="7"/>
      <c r="L24" s="7"/>
      <c r="M24" s="7"/>
    </row>
    <row r="25" spans="1:13" ht="27.5" x14ac:dyDescent="0.35">
      <c r="A25" s="7"/>
      <c r="B25" s="58" t="s">
        <v>67</v>
      </c>
      <c r="C25" s="58" t="s">
        <v>64</v>
      </c>
      <c r="D25" s="18" t="s">
        <v>55</v>
      </c>
      <c r="E25" s="19"/>
      <c r="F25" s="7"/>
      <c r="G25" s="7"/>
      <c r="H25" s="7"/>
      <c r="I25" s="7"/>
      <c r="J25" s="7"/>
      <c r="K25" s="7"/>
      <c r="L25" s="7"/>
      <c r="M25" s="7"/>
    </row>
    <row r="26" spans="1:13" ht="27.5" x14ac:dyDescent="0.35">
      <c r="A26" s="7"/>
      <c r="B26" s="58" t="s">
        <v>68</v>
      </c>
      <c r="C26" s="58" t="s">
        <v>64</v>
      </c>
      <c r="D26" s="18" t="s">
        <v>55</v>
      </c>
      <c r="E26" s="19"/>
      <c r="F26" s="7"/>
      <c r="G26" s="7"/>
      <c r="H26" s="7"/>
      <c r="I26" s="7"/>
      <c r="J26" s="7"/>
      <c r="K26" s="7"/>
      <c r="L26" s="7"/>
      <c r="M26" s="7"/>
    </row>
    <row r="27" spans="1:13" ht="27.5" x14ac:dyDescent="0.35">
      <c r="A27" s="7"/>
      <c r="B27" s="58" t="s">
        <v>69</v>
      </c>
      <c r="C27" s="58" t="s">
        <v>64</v>
      </c>
      <c r="D27" s="18" t="s">
        <v>55</v>
      </c>
      <c r="E27" s="19"/>
      <c r="F27" s="7"/>
      <c r="G27" s="7"/>
      <c r="H27" s="7"/>
      <c r="I27" s="7"/>
      <c r="J27" s="7"/>
      <c r="K27" s="7"/>
      <c r="L27" s="7"/>
      <c r="M27" s="7"/>
    </row>
    <row r="28" spans="1:13" ht="27.5" x14ac:dyDescent="0.35">
      <c r="A28" s="7"/>
      <c r="B28" s="58" t="s">
        <v>70</v>
      </c>
      <c r="C28" s="58" t="s">
        <v>64</v>
      </c>
      <c r="D28" s="18" t="s">
        <v>55</v>
      </c>
      <c r="E28" s="19"/>
      <c r="F28" s="7"/>
      <c r="G28" s="7"/>
      <c r="H28" s="7"/>
      <c r="I28" s="7"/>
      <c r="J28" s="7"/>
      <c r="K28" s="7"/>
      <c r="L28" s="7"/>
      <c r="M28" s="7"/>
    </row>
    <row r="29" spans="1:13" ht="27.5" x14ac:dyDescent="0.35">
      <c r="A29" s="7"/>
      <c r="B29" s="58" t="s">
        <v>71</v>
      </c>
      <c r="C29" s="58" t="s">
        <v>57</v>
      </c>
      <c r="D29" s="18" t="s">
        <v>55</v>
      </c>
      <c r="E29" s="19"/>
      <c r="F29" s="7"/>
      <c r="G29" s="7"/>
      <c r="H29" s="7"/>
      <c r="I29" s="7"/>
      <c r="J29" s="7"/>
      <c r="K29" s="7"/>
      <c r="L29" s="7"/>
      <c r="M29" s="7"/>
    </row>
    <row r="30" spans="1:13" x14ac:dyDescent="0.35">
      <c r="A30" s="7"/>
      <c r="B30" s="58" t="s">
        <v>72</v>
      </c>
      <c r="C30" s="58" t="s">
        <v>22</v>
      </c>
      <c r="D30" s="18" t="s">
        <v>55</v>
      </c>
      <c r="E30" s="19"/>
      <c r="F30" s="7"/>
      <c r="G30" s="7"/>
      <c r="H30" s="7"/>
      <c r="I30" s="7"/>
      <c r="J30" s="7"/>
      <c r="K30" s="7"/>
      <c r="L30" s="7"/>
      <c r="M30" s="7"/>
    </row>
    <row r="31" spans="1:13" ht="27.5" x14ac:dyDescent="0.35">
      <c r="A31" s="7"/>
      <c r="B31" s="58" t="s">
        <v>73</v>
      </c>
      <c r="C31" s="58" t="s">
        <v>64</v>
      </c>
      <c r="D31" s="18" t="s">
        <v>55</v>
      </c>
      <c r="E31" s="19"/>
      <c r="F31" s="7"/>
      <c r="G31" s="7"/>
      <c r="H31" s="7"/>
      <c r="I31" s="7"/>
      <c r="J31" s="7"/>
      <c r="K31" s="7"/>
      <c r="L31" s="7"/>
      <c r="M31" s="7"/>
    </row>
    <row r="32" spans="1:13" x14ac:dyDescent="0.35">
      <c r="A32" s="7"/>
      <c r="B32" s="58" t="s">
        <v>74</v>
      </c>
      <c r="C32" s="58" t="s">
        <v>52</v>
      </c>
      <c r="D32" s="18" t="s">
        <v>55</v>
      </c>
      <c r="E32" s="19"/>
      <c r="F32" s="7"/>
      <c r="G32" s="7"/>
      <c r="H32" s="7"/>
      <c r="I32" s="7"/>
      <c r="J32" s="7"/>
      <c r="K32" s="7"/>
      <c r="L32" s="7"/>
      <c r="M32" s="7"/>
    </row>
    <row r="33" spans="1:13" ht="27.5" x14ac:dyDescent="0.35">
      <c r="A33" s="7"/>
      <c r="B33" s="58" t="s">
        <v>75</v>
      </c>
      <c r="C33" s="58" t="s">
        <v>52</v>
      </c>
      <c r="D33" s="18" t="s">
        <v>55</v>
      </c>
      <c r="E33" s="19"/>
      <c r="F33" s="7"/>
      <c r="G33" s="7"/>
      <c r="H33" s="7"/>
      <c r="I33" s="7"/>
      <c r="J33" s="7"/>
      <c r="K33" s="7"/>
      <c r="L33" s="7"/>
      <c r="M33" s="7"/>
    </row>
    <row r="34" spans="1:13" x14ac:dyDescent="0.35">
      <c r="A34" s="7"/>
      <c r="B34" s="58" t="s">
        <v>76</v>
      </c>
      <c r="C34" s="58" t="s">
        <v>22</v>
      </c>
      <c r="D34" s="18" t="s">
        <v>55</v>
      </c>
      <c r="E34" s="19"/>
      <c r="F34" s="7"/>
      <c r="G34" s="7"/>
      <c r="H34" s="7"/>
      <c r="I34" s="7"/>
      <c r="J34" s="7"/>
      <c r="K34" s="7"/>
      <c r="L34" s="7"/>
      <c r="M34" s="7"/>
    </row>
    <row r="35" spans="1:13" x14ac:dyDescent="0.35">
      <c r="A35" s="7"/>
      <c r="B35" s="58" t="s">
        <v>77</v>
      </c>
      <c r="C35" s="58" t="s">
        <v>22</v>
      </c>
      <c r="D35" s="18" t="s">
        <v>55</v>
      </c>
      <c r="E35" s="19"/>
      <c r="F35" s="7"/>
      <c r="G35" s="7"/>
      <c r="H35" s="7"/>
      <c r="I35" s="7"/>
      <c r="J35" s="7"/>
      <c r="K35" s="7"/>
      <c r="L35" s="7"/>
      <c r="M35" s="7"/>
    </row>
    <row r="36" spans="1:13" x14ac:dyDescent="0.35">
      <c r="A36" s="7"/>
      <c r="B36" s="58" t="s">
        <v>78</v>
      </c>
      <c r="C36" s="58" t="s">
        <v>52</v>
      </c>
      <c r="D36" s="18" t="s">
        <v>55</v>
      </c>
      <c r="E36" s="19"/>
      <c r="F36" s="7"/>
      <c r="G36" s="7"/>
      <c r="H36" s="7"/>
      <c r="I36" s="7"/>
      <c r="J36" s="7"/>
      <c r="K36" s="7"/>
      <c r="L36" s="7"/>
      <c r="M36" s="7"/>
    </row>
    <row r="37" spans="1:13" ht="27.5" x14ac:dyDescent="0.35">
      <c r="A37" s="7"/>
      <c r="B37" s="58" t="s">
        <v>79</v>
      </c>
      <c r="C37" s="58" t="s">
        <v>57</v>
      </c>
      <c r="D37" s="18" t="s">
        <v>55</v>
      </c>
      <c r="E37" s="19"/>
      <c r="F37" s="7"/>
      <c r="G37" s="7"/>
      <c r="H37" s="7"/>
      <c r="I37" s="7"/>
      <c r="J37" s="7"/>
      <c r="K37" s="7"/>
      <c r="L37" s="7"/>
      <c r="M37" s="7"/>
    </row>
    <row r="38" spans="1:13" x14ac:dyDescent="0.35">
      <c r="A38" s="7"/>
      <c r="B38" s="58" t="s">
        <v>80</v>
      </c>
      <c r="C38" s="58" t="s">
        <v>52</v>
      </c>
      <c r="D38" s="18" t="s">
        <v>55</v>
      </c>
      <c r="E38" s="19"/>
      <c r="F38" s="7"/>
      <c r="G38" s="7"/>
      <c r="H38" s="7"/>
      <c r="I38" s="7"/>
      <c r="J38" s="7"/>
      <c r="K38" s="7"/>
      <c r="L38" s="7"/>
      <c r="M38" s="7"/>
    </row>
    <row r="39" spans="1:13" x14ac:dyDescent="0.35">
      <c r="A39" s="7"/>
      <c r="B39" s="58" t="s">
        <v>93</v>
      </c>
      <c r="C39" s="58" t="s">
        <v>52</v>
      </c>
      <c r="D39" s="18" t="s">
        <v>55</v>
      </c>
      <c r="E39" s="19"/>
      <c r="F39" s="7"/>
      <c r="G39" s="7"/>
      <c r="H39" s="7"/>
      <c r="I39" s="7"/>
      <c r="J39" s="7"/>
      <c r="K39" s="7"/>
      <c r="L39" s="7"/>
      <c r="M39" s="7"/>
    </row>
    <row r="40" spans="1:13" x14ac:dyDescent="0.35">
      <c r="A40" s="7"/>
      <c r="B40" s="58" t="s">
        <v>94</v>
      </c>
      <c r="C40" s="58" t="s">
        <v>52</v>
      </c>
      <c r="D40" s="18" t="s">
        <v>55</v>
      </c>
      <c r="E40" s="19"/>
      <c r="F40" s="7"/>
      <c r="G40" s="7"/>
      <c r="H40" s="7"/>
      <c r="I40" s="7"/>
      <c r="J40" s="7"/>
      <c r="K40" s="7"/>
      <c r="L40" s="7"/>
      <c r="M40" s="7"/>
    </row>
    <row r="41" spans="1:13" x14ac:dyDescent="0.35">
      <c r="A41" s="7"/>
      <c r="B41" s="58" t="s">
        <v>165</v>
      </c>
      <c r="C41" s="58" t="s">
        <v>52</v>
      </c>
      <c r="D41" s="18" t="s">
        <v>55</v>
      </c>
      <c r="E41" s="19"/>
      <c r="F41" s="7"/>
      <c r="G41" s="7"/>
      <c r="H41" s="7"/>
      <c r="I41" s="7"/>
      <c r="J41" s="7"/>
      <c r="K41" s="7"/>
      <c r="L41" s="7"/>
      <c r="M41" s="7"/>
    </row>
    <row r="42" spans="1:13" x14ac:dyDescent="0.35">
      <c r="A42" s="7"/>
      <c r="B42" s="7"/>
      <c r="C42" s="7"/>
      <c r="D42" s="7"/>
      <c r="E42" s="7"/>
      <c r="F42" s="7"/>
      <c r="G42" s="7"/>
      <c r="H42" s="7"/>
      <c r="I42" s="7"/>
      <c r="J42" s="7"/>
      <c r="K42" s="7"/>
      <c r="L42" s="7"/>
      <c r="M42" s="7"/>
    </row>
    <row r="43" spans="1:13" ht="20.5" customHeight="1" x14ac:dyDescent="0.35">
      <c r="A43" s="7"/>
      <c r="B43" s="57" t="s">
        <v>81</v>
      </c>
      <c r="C43" s="122" t="s">
        <v>82</v>
      </c>
      <c r="D43" s="122"/>
      <c r="E43" s="122"/>
      <c r="F43" s="122"/>
      <c r="G43" s="122"/>
      <c r="H43" s="122"/>
      <c r="I43" s="122"/>
      <c r="J43" s="122"/>
      <c r="K43" s="7"/>
      <c r="L43" s="7"/>
      <c r="M43" s="7"/>
    </row>
    <row r="44" spans="1:13" x14ac:dyDescent="0.35">
      <c r="A44" s="7"/>
      <c r="B44" s="10" t="s">
        <v>83</v>
      </c>
      <c r="C44" s="11" t="s">
        <v>84</v>
      </c>
      <c r="D44" s="7"/>
      <c r="E44" s="7"/>
      <c r="F44" s="7"/>
      <c r="G44" s="7"/>
      <c r="H44" s="7"/>
      <c r="I44" s="7"/>
      <c r="J44" s="7"/>
      <c r="K44" s="7"/>
      <c r="L44" s="7"/>
      <c r="M44" s="7"/>
    </row>
    <row r="45" spans="1:13" x14ac:dyDescent="0.35">
      <c r="A45" s="7"/>
      <c r="B45" s="14" t="s">
        <v>85</v>
      </c>
      <c r="C45" s="12"/>
      <c r="D45" s="7"/>
      <c r="E45" s="7"/>
      <c r="F45" s="7"/>
      <c r="G45" s="7"/>
      <c r="H45" s="7"/>
      <c r="I45" s="7"/>
      <c r="J45" s="7"/>
      <c r="K45" s="7"/>
      <c r="L45" s="7"/>
      <c r="M45" s="7"/>
    </row>
    <row r="46" spans="1:13" x14ac:dyDescent="0.35">
      <c r="A46" s="7"/>
      <c r="B46" s="14" t="s">
        <v>86</v>
      </c>
      <c r="C46" s="12"/>
      <c r="D46" s="7"/>
      <c r="E46" s="7"/>
      <c r="F46" s="7"/>
      <c r="G46" s="7"/>
      <c r="H46" s="7"/>
      <c r="I46" s="7"/>
      <c r="J46" s="7"/>
      <c r="K46" s="7"/>
      <c r="L46" s="7"/>
      <c r="M46" s="7"/>
    </row>
    <row r="47" spans="1:13" x14ac:dyDescent="0.35">
      <c r="A47" s="7"/>
      <c r="B47" s="14" t="s">
        <v>87</v>
      </c>
      <c r="C47" s="12"/>
      <c r="D47" s="7"/>
      <c r="E47" s="7"/>
      <c r="F47" s="7"/>
      <c r="G47" s="7"/>
      <c r="H47" s="7"/>
      <c r="I47" s="7"/>
      <c r="J47" s="7"/>
      <c r="K47" s="7"/>
      <c r="L47" s="7"/>
      <c r="M47" s="7"/>
    </row>
    <row r="48" spans="1:13" x14ac:dyDescent="0.35">
      <c r="A48" s="7"/>
      <c r="B48" s="14" t="s">
        <v>88</v>
      </c>
      <c r="C48" s="12"/>
      <c r="D48" s="7"/>
      <c r="E48" s="7"/>
      <c r="F48" s="7"/>
      <c r="G48" s="7"/>
      <c r="H48" s="7"/>
      <c r="I48" s="7"/>
      <c r="J48" s="7"/>
      <c r="K48" s="7"/>
      <c r="L48" s="7"/>
      <c r="M48" s="7"/>
    </row>
    <row r="49" spans="1:13" x14ac:dyDescent="0.35">
      <c r="A49" s="7"/>
      <c r="B49" s="14" t="s">
        <v>89</v>
      </c>
      <c r="C49" s="12"/>
      <c r="D49" s="7"/>
      <c r="E49" s="7"/>
      <c r="F49" s="7"/>
      <c r="G49" s="7"/>
      <c r="H49" s="7"/>
      <c r="I49" s="7"/>
      <c r="J49" s="7"/>
      <c r="K49" s="7"/>
      <c r="L49" s="7"/>
      <c r="M49" s="7"/>
    </row>
    <row r="50" spans="1:13" x14ac:dyDescent="0.35">
      <c r="A50" s="7"/>
      <c r="B50" s="14" t="s">
        <v>90</v>
      </c>
      <c r="C50" s="12"/>
      <c r="D50" s="7"/>
      <c r="E50" s="7"/>
      <c r="F50" s="7"/>
      <c r="G50" s="7"/>
      <c r="H50" s="7"/>
      <c r="I50" s="7"/>
      <c r="J50" s="7"/>
      <c r="K50" s="7"/>
      <c r="L50" s="7"/>
      <c r="M50" s="7"/>
    </row>
    <row r="51" spans="1:13" x14ac:dyDescent="0.35">
      <c r="A51" s="7"/>
      <c r="B51" s="14" t="s">
        <v>91</v>
      </c>
      <c r="C51" s="12"/>
      <c r="D51" s="7"/>
      <c r="E51" s="7"/>
      <c r="F51" s="7"/>
      <c r="G51" s="7"/>
      <c r="H51" s="7"/>
      <c r="I51" s="7"/>
      <c r="J51" s="7"/>
      <c r="K51" s="7"/>
      <c r="L51" s="7"/>
      <c r="M51" s="7"/>
    </row>
    <row r="52" spans="1:13" x14ac:dyDescent="0.35">
      <c r="A52" s="7"/>
      <c r="B52" s="14" t="s">
        <v>92</v>
      </c>
      <c r="C52" s="12"/>
      <c r="D52" s="7"/>
      <c r="E52" s="7"/>
      <c r="F52" s="7"/>
      <c r="G52" s="7"/>
      <c r="H52" s="7"/>
      <c r="I52" s="7"/>
      <c r="J52" s="7"/>
      <c r="K52" s="7"/>
      <c r="L52" s="7"/>
      <c r="M52" s="7"/>
    </row>
    <row r="53" spans="1:13" x14ac:dyDescent="0.35">
      <c r="A53" s="7"/>
      <c r="B53" s="14" t="s">
        <v>93</v>
      </c>
      <c r="C53" s="12"/>
      <c r="D53" s="7"/>
      <c r="E53" s="7"/>
      <c r="F53" s="7"/>
      <c r="G53" s="7"/>
      <c r="H53" s="7"/>
      <c r="I53" s="7"/>
      <c r="J53" s="7"/>
      <c r="K53" s="7"/>
      <c r="L53" s="7"/>
      <c r="M53" s="7"/>
    </row>
    <row r="54" spans="1:13" x14ac:dyDescent="0.35">
      <c r="A54" s="7"/>
      <c r="B54" s="15" t="s">
        <v>94</v>
      </c>
      <c r="C54" s="13"/>
      <c r="D54" s="7"/>
      <c r="E54" s="7"/>
      <c r="F54" s="7"/>
      <c r="G54" s="7"/>
      <c r="H54" s="7"/>
      <c r="I54" s="7"/>
      <c r="J54" s="7"/>
      <c r="K54" s="7"/>
      <c r="L54" s="7"/>
      <c r="M54" s="7"/>
    </row>
    <row r="55" spans="1:13" x14ac:dyDescent="0.35">
      <c r="A55" s="7"/>
      <c r="B55" s="7"/>
      <c r="C55" s="7"/>
      <c r="D55" s="7"/>
      <c r="E55" s="7"/>
      <c r="F55" s="7"/>
      <c r="G55" s="7"/>
      <c r="H55" s="7"/>
      <c r="I55" s="7"/>
      <c r="J55" s="7"/>
      <c r="K55" s="7"/>
      <c r="L55" s="7"/>
      <c r="M55" s="7"/>
    </row>
    <row r="56" spans="1:13" x14ac:dyDescent="0.35">
      <c r="A56" s="7"/>
      <c r="B56" s="7"/>
      <c r="C56" s="7"/>
      <c r="D56" s="7"/>
      <c r="E56" s="7"/>
      <c r="F56" s="7"/>
      <c r="G56" s="7"/>
      <c r="H56" s="7"/>
      <c r="I56" s="7"/>
      <c r="J56" s="7"/>
      <c r="K56" s="7"/>
      <c r="L56" s="7"/>
      <c r="M56" s="7"/>
    </row>
    <row r="57" spans="1:13" x14ac:dyDescent="0.35">
      <c r="A57" s="7"/>
      <c r="B57" s="7"/>
      <c r="C57" s="7"/>
      <c r="D57" s="7"/>
      <c r="E57" s="7"/>
      <c r="F57" s="7"/>
      <c r="G57" s="7"/>
      <c r="H57" s="7"/>
      <c r="I57" s="7"/>
      <c r="J57" s="7"/>
      <c r="K57" s="7"/>
      <c r="L57" s="7"/>
      <c r="M57" s="7"/>
    </row>
    <row r="58" spans="1:13" x14ac:dyDescent="0.35"/>
    <row r="59" spans="1:13" x14ac:dyDescent="0.35"/>
    <row r="60" spans="1:13" x14ac:dyDescent="0.35"/>
    <row r="61" spans="1:13" x14ac:dyDescent="0.35"/>
    <row r="62" spans="1:13" x14ac:dyDescent="0.35"/>
    <row r="63" spans="1:13" x14ac:dyDescent="0.35"/>
    <row r="64" spans="1:13" x14ac:dyDescent="0.35"/>
    <row r="65" x14ac:dyDescent="0.35"/>
    <row r="66" x14ac:dyDescent="0.35"/>
    <row r="67" x14ac:dyDescent="0.35"/>
    <row r="68" x14ac:dyDescent="0.35"/>
    <row r="69" x14ac:dyDescent="0.35"/>
    <row r="70" x14ac:dyDescent="0.35"/>
    <row r="71" x14ac:dyDescent="0.35"/>
  </sheetData>
  <protectedRanges>
    <protectedRange sqref="B14:E41 B4 C7 C8 C10 C43 B45:C54" name="Range1"/>
  </protectedRanges>
  <mergeCells count="4">
    <mergeCell ref="B6:C6"/>
    <mergeCell ref="C12:J12"/>
    <mergeCell ref="B4:J4"/>
    <mergeCell ref="C43:J43"/>
  </mergeCells>
  <dataValidations count="7">
    <dataValidation type="date" allowBlank="1" showInputMessage="1" showErrorMessage="1" errorTitle="Enter a valid date" error="Please enter a valid start date for Discovery." sqref="C8" xr:uid="{00000000-0002-0000-0200-000000000000}">
      <formula1>732</formula1>
      <formula2>401749</formula2>
    </dataValidation>
    <dataValidation type="whole" allowBlank="1" showInputMessage="1" showErrorMessage="1" errorTitle="Enter Valid Value" error="Tool allows for up to 10 weeks of discovery. Please enter a value between 1 and 10." sqref="C7" xr:uid="{00000000-0002-0000-0200-000001000000}">
      <formula1>0</formula1>
      <formula2>10</formula2>
    </dataValidation>
    <dataValidation type="list" allowBlank="1" showInputMessage="1" showErrorMessage="1" sqref="D14:D41" xr:uid="{00000000-0002-0000-0200-000002000000}">
      <formula1>"Y,N"</formula1>
    </dataValidation>
    <dataValidation type="list" allowBlank="1" showInputMessage="1" showErrorMessage="1" sqref="C14:C41" xr:uid="{00000000-0002-0000-0200-000003000000}">
      <formula1>"Interfaces/Objects,Standardization/Cleansing Rules/Lookups,M&amp;M/Fuzzy/Hierarchy Rules,UI Complexity"</formula1>
    </dataValidation>
    <dataValidation type="custom" operator="greaterThan" allowBlank="1" showInputMessage="1" showErrorMessage="1" sqref="E14:E41" xr:uid="{00000000-0002-0000-0200-000004000000}">
      <formula1>ISNUMBER(E14:E41)</formula1>
    </dataValidation>
    <dataValidation type="custom" allowBlank="1" showInputMessage="1" showErrorMessage="1" sqref="C45:C54" xr:uid="{00000000-0002-0000-0200-000005000000}">
      <formula1>ISNUMBER(C45:C54)</formula1>
    </dataValidation>
    <dataValidation type="custom" allowBlank="1" showInputMessage="1" showErrorMessage="1" sqref="C10" xr:uid="{00000000-0002-0000-0200-000006000000}">
      <formula1>ISNUMBER(C10)</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8"/>
  </sheetPr>
  <dimension ref="A1:M345"/>
  <sheetViews>
    <sheetView showGridLines="0" topLeftCell="E1" workbookViewId="0">
      <pane ySplit="8" topLeftCell="A9" activePane="bottomLeft" state="frozen"/>
      <selection pane="bottomLeft" activeCell="H9" sqref="H8:H9"/>
    </sheetView>
  </sheetViews>
  <sheetFormatPr defaultRowHeight="14.5" x14ac:dyDescent="0.35"/>
  <cols>
    <col min="1" max="2" width="1.81640625" customWidth="1"/>
    <col min="3" max="3" width="58.7265625" customWidth="1"/>
    <col min="4" max="4" width="16" customWidth="1"/>
    <col min="5" max="5" width="14" customWidth="1"/>
    <col min="6" max="6" width="16.1796875" customWidth="1"/>
    <col min="7" max="7" width="12.1796875" customWidth="1"/>
    <col min="8" max="8" width="11.1796875" customWidth="1"/>
    <col min="9" max="9" width="12.1796875" customWidth="1"/>
    <col min="10" max="10" width="14.7265625" customWidth="1"/>
  </cols>
  <sheetData>
    <row r="1" spans="1:13" ht="27" x14ac:dyDescent="0.35">
      <c r="A1" s="7"/>
      <c r="B1" s="7"/>
      <c r="C1" s="1" t="s">
        <v>0</v>
      </c>
      <c r="D1" s="5"/>
      <c r="E1" s="5"/>
      <c r="F1" s="5"/>
      <c r="G1" s="5"/>
      <c r="H1" s="5"/>
      <c r="I1" s="5"/>
      <c r="J1" s="5"/>
      <c r="K1" s="5"/>
      <c r="L1" s="5"/>
      <c r="M1" s="7"/>
    </row>
    <row r="2" spans="1:13" ht="7" customHeight="1" x14ac:dyDescent="0.35">
      <c r="A2" s="7"/>
      <c r="B2" s="7"/>
      <c r="C2" s="6"/>
      <c r="D2" s="6"/>
      <c r="E2" s="6"/>
      <c r="F2" s="6"/>
      <c r="G2" s="6"/>
      <c r="H2" s="6"/>
      <c r="I2" s="6"/>
      <c r="J2" s="6"/>
      <c r="K2" s="6"/>
      <c r="L2" s="6"/>
      <c r="M2" s="6"/>
    </row>
    <row r="3" spans="1:13" ht="24" customHeight="1" x14ac:dyDescent="0.35">
      <c r="A3" s="125" t="s">
        <v>95</v>
      </c>
      <c r="B3" s="125"/>
      <c r="C3" s="125"/>
      <c r="D3" s="125"/>
      <c r="E3" s="125"/>
      <c r="F3" s="125"/>
      <c r="G3" s="125"/>
      <c r="H3" s="125"/>
      <c r="I3" s="125"/>
      <c r="J3" s="125"/>
      <c r="K3" s="125"/>
      <c r="L3" s="125"/>
      <c r="M3" s="125"/>
    </row>
    <row r="4" spans="1:13" ht="10" customHeight="1" x14ac:dyDescent="0.35">
      <c r="A4" s="126" t="s">
        <v>96</v>
      </c>
      <c r="B4" s="126"/>
      <c r="C4" s="126"/>
      <c r="D4" s="126"/>
      <c r="E4" s="126"/>
      <c r="F4" s="126"/>
      <c r="G4" s="126"/>
      <c r="H4" s="126"/>
      <c r="I4" s="126"/>
      <c r="J4" s="126"/>
      <c r="K4" s="126"/>
      <c r="L4" s="126"/>
      <c r="M4" s="126"/>
    </row>
    <row r="5" spans="1:13" ht="8.5" customHeight="1" x14ac:dyDescent="0.35">
      <c r="A5" s="81"/>
      <c r="B5" s="81"/>
      <c r="C5" s="81"/>
      <c r="D5" s="81"/>
      <c r="E5" s="81"/>
      <c r="F5" s="81"/>
      <c r="G5" s="81"/>
      <c r="H5" s="81"/>
      <c r="I5" s="81"/>
      <c r="J5" s="81"/>
      <c r="K5" s="81"/>
      <c r="L5" s="81"/>
      <c r="M5" s="81"/>
    </row>
    <row r="6" spans="1:13" ht="10" customHeight="1" x14ac:dyDescent="0.35">
      <c r="A6" s="21"/>
      <c r="B6" s="21"/>
      <c r="C6" s="21"/>
      <c r="D6" s="21"/>
      <c r="E6" s="21"/>
      <c r="F6" s="21"/>
      <c r="G6" s="21"/>
      <c r="H6" s="21"/>
      <c r="I6" s="21"/>
      <c r="J6" s="21"/>
      <c r="K6" s="21"/>
      <c r="L6" s="21"/>
      <c r="M6" s="21"/>
    </row>
    <row r="7" spans="1:13" ht="43.5" customHeight="1" x14ac:dyDescent="0.35">
      <c r="A7" s="21"/>
      <c r="B7" s="21"/>
      <c r="C7" s="123" t="s">
        <v>48</v>
      </c>
      <c r="D7" s="124" t="s">
        <v>49</v>
      </c>
      <c r="E7" s="20" t="s">
        <v>97</v>
      </c>
      <c r="F7" s="20" t="s">
        <v>98</v>
      </c>
      <c r="G7" s="20" t="s">
        <v>99</v>
      </c>
      <c r="H7" s="20" t="s">
        <v>100</v>
      </c>
      <c r="I7" s="20" t="s">
        <v>101</v>
      </c>
      <c r="J7" s="20" t="s">
        <v>102</v>
      </c>
      <c r="K7" s="20" t="s">
        <v>103</v>
      </c>
      <c r="L7" s="21"/>
      <c r="M7" s="21"/>
    </row>
    <row r="8" spans="1:13" ht="45.65" customHeight="1" x14ac:dyDescent="0.35">
      <c r="A8" s="21"/>
      <c r="B8" s="21"/>
      <c r="C8" s="123"/>
      <c r="D8" s="124"/>
      <c r="E8" s="22" t="s">
        <v>104</v>
      </c>
      <c r="F8" s="22" t="s">
        <v>105</v>
      </c>
      <c r="G8" s="22" t="s">
        <v>106</v>
      </c>
      <c r="H8" s="22" t="s">
        <v>107</v>
      </c>
      <c r="I8" s="22" t="s">
        <v>108</v>
      </c>
      <c r="J8" s="22" t="s">
        <v>109</v>
      </c>
      <c r="K8" s="22" t="s">
        <v>110</v>
      </c>
      <c r="L8" s="21"/>
      <c r="M8" s="21"/>
    </row>
    <row r="9" spans="1:13" ht="14.5" customHeight="1" x14ac:dyDescent="0.35">
      <c r="A9" s="21"/>
      <c r="B9" s="21"/>
      <c r="C9" s="84" t="s">
        <v>51</v>
      </c>
      <c r="D9" s="84" t="s">
        <v>52</v>
      </c>
      <c r="E9" s="84"/>
      <c r="F9" s="84"/>
      <c r="G9" s="84"/>
      <c r="H9" s="84"/>
      <c r="I9" s="86"/>
      <c r="J9" s="86"/>
      <c r="K9" s="86"/>
      <c r="L9" s="21"/>
      <c r="M9" s="21"/>
    </row>
    <row r="10" spans="1:13" ht="14.5" customHeight="1" x14ac:dyDescent="0.35">
      <c r="A10" s="21"/>
      <c r="B10" s="21"/>
      <c r="C10" s="84"/>
      <c r="D10" s="84"/>
      <c r="E10" s="84" t="s">
        <v>111</v>
      </c>
      <c r="F10" s="84">
        <v>10</v>
      </c>
      <c r="G10" s="85">
        <v>0.34</v>
      </c>
      <c r="H10" s="84" t="s">
        <v>53</v>
      </c>
      <c r="I10" s="86" t="s">
        <v>112</v>
      </c>
      <c r="J10" s="86">
        <v>14</v>
      </c>
      <c r="K10" s="86" t="s">
        <v>55</v>
      </c>
      <c r="L10" s="21"/>
      <c r="M10" s="21"/>
    </row>
    <row r="11" spans="1:13" ht="14.5" customHeight="1" x14ac:dyDescent="0.35">
      <c r="A11" s="21"/>
      <c r="B11" s="21"/>
      <c r="C11" s="84"/>
      <c r="D11" s="84"/>
      <c r="E11" s="84" t="s">
        <v>113</v>
      </c>
      <c r="F11" s="84">
        <v>20</v>
      </c>
      <c r="G11" s="85">
        <v>0.77</v>
      </c>
      <c r="H11" s="84" t="s">
        <v>53</v>
      </c>
      <c r="I11" s="86" t="s">
        <v>114</v>
      </c>
      <c r="J11" s="86">
        <v>43</v>
      </c>
      <c r="K11" s="86" t="s">
        <v>55</v>
      </c>
      <c r="L11" s="21"/>
      <c r="M11" s="21"/>
    </row>
    <row r="12" spans="1:13" ht="14.5" customHeight="1" x14ac:dyDescent="0.35">
      <c r="A12" s="21"/>
      <c r="B12" s="21"/>
      <c r="C12" s="84"/>
      <c r="D12" s="84"/>
      <c r="E12" s="84" t="s">
        <v>115</v>
      </c>
      <c r="F12" s="84">
        <v>30</v>
      </c>
      <c r="G12" s="85">
        <v>0.89</v>
      </c>
      <c r="H12" s="84" t="s">
        <v>55</v>
      </c>
      <c r="I12" s="86" t="s">
        <v>116</v>
      </c>
      <c r="J12" s="86">
        <v>66</v>
      </c>
      <c r="K12" s="86" t="s">
        <v>55</v>
      </c>
      <c r="L12" s="21"/>
      <c r="M12" s="21"/>
    </row>
    <row r="13" spans="1:13" ht="14.5" customHeight="1" x14ac:dyDescent="0.35">
      <c r="A13" s="21"/>
      <c r="B13" s="21"/>
      <c r="C13" s="84" t="s">
        <v>56</v>
      </c>
      <c r="D13" s="84" t="s">
        <v>57</v>
      </c>
      <c r="E13" s="84"/>
      <c r="F13" s="84"/>
      <c r="G13" s="85"/>
      <c r="H13" s="84"/>
      <c r="I13" s="86"/>
      <c r="J13" s="86"/>
      <c r="K13" s="86"/>
      <c r="L13" s="21"/>
      <c r="M13" s="21"/>
    </row>
    <row r="14" spans="1:13" ht="14.5" customHeight="1" x14ac:dyDescent="0.35">
      <c r="A14" s="21"/>
      <c r="B14" s="21"/>
      <c r="C14" s="84"/>
      <c r="D14" s="84"/>
      <c r="E14" s="84" t="s">
        <v>117</v>
      </c>
      <c r="F14" s="84">
        <v>2</v>
      </c>
      <c r="G14" s="85" t="s">
        <v>118</v>
      </c>
      <c r="H14" s="84" t="s">
        <v>118</v>
      </c>
      <c r="I14" s="86" t="s">
        <v>112</v>
      </c>
      <c r="J14" s="86">
        <v>1</v>
      </c>
      <c r="K14" s="86" t="s">
        <v>55</v>
      </c>
      <c r="L14" s="21"/>
      <c r="M14" s="21"/>
    </row>
    <row r="15" spans="1:13" ht="14.5" customHeight="1" x14ac:dyDescent="0.35">
      <c r="A15" s="21"/>
      <c r="B15" s="21"/>
      <c r="C15" s="84"/>
      <c r="D15" s="84"/>
      <c r="E15" s="84" t="s">
        <v>119</v>
      </c>
      <c r="F15" s="84">
        <v>4</v>
      </c>
      <c r="G15" s="85" t="s">
        <v>118</v>
      </c>
      <c r="H15" s="84" t="s">
        <v>118</v>
      </c>
      <c r="I15" s="86" t="s">
        <v>114</v>
      </c>
      <c r="J15" s="86">
        <v>1.5</v>
      </c>
      <c r="K15" s="86" t="s">
        <v>55</v>
      </c>
      <c r="L15" s="21"/>
      <c r="M15" s="21"/>
    </row>
    <row r="16" spans="1:13" ht="14.5" customHeight="1" x14ac:dyDescent="0.35">
      <c r="A16" s="21"/>
      <c r="B16" s="21"/>
      <c r="C16" s="84"/>
      <c r="D16" s="84"/>
      <c r="E16" s="84" t="s">
        <v>120</v>
      </c>
      <c r="F16" s="84">
        <v>6</v>
      </c>
      <c r="G16" s="85" t="s">
        <v>118</v>
      </c>
      <c r="H16" s="84" t="s">
        <v>118</v>
      </c>
      <c r="I16" s="86" t="s">
        <v>116</v>
      </c>
      <c r="J16" s="86">
        <v>2</v>
      </c>
      <c r="K16" s="86" t="s">
        <v>55</v>
      </c>
      <c r="L16" s="21"/>
      <c r="M16" s="21"/>
    </row>
    <row r="17" spans="1:13" ht="14.5" customHeight="1" x14ac:dyDescent="0.35">
      <c r="A17" s="21"/>
      <c r="B17" s="21"/>
      <c r="C17" s="84"/>
      <c r="D17" s="84"/>
      <c r="E17" s="84" t="s">
        <v>121</v>
      </c>
      <c r="F17" s="84">
        <v>8</v>
      </c>
      <c r="G17" s="85" t="s">
        <v>118</v>
      </c>
      <c r="H17" s="84" t="s">
        <v>118</v>
      </c>
      <c r="I17" s="86" t="s">
        <v>116</v>
      </c>
      <c r="J17" s="86">
        <v>2</v>
      </c>
      <c r="K17" s="86" t="s">
        <v>55</v>
      </c>
      <c r="L17" s="21"/>
      <c r="M17" s="21"/>
    </row>
    <row r="18" spans="1:13" ht="14.5" customHeight="1" x14ac:dyDescent="0.35">
      <c r="A18" s="21"/>
      <c r="B18" s="21"/>
    </row>
    <row r="19" spans="1:13" ht="14.5" customHeight="1" x14ac:dyDescent="0.35">
      <c r="A19" s="21"/>
      <c r="B19" s="21"/>
    </row>
    <row r="20" spans="1:13" ht="14.5" customHeight="1" x14ac:dyDescent="0.35">
      <c r="A20" s="21"/>
      <c r="B20" s="21"/>
    </row>
    <row r="21" spans="1:13" ht="14.5" customHeight="1" x14ac:dyDescent="0.35">
      <c r="A21" s="21"/>
      <c r="B21" s="21"/>
    </row>
    <row r="22" spans="1:13" ht="14.5" customHeight="1" x14ac:dyDescent="0.35">
      <c r="A22" s="21"/>
      <c r="B22" s="21"/>
    </row>
    <row r="23" spans="1:13" ht="14.5" customHeight="1" x14ac:dyDescent="0.35">
      <c r="A23" s="21"/>
      <c r="B23" s="21"/>
    </row>
    <row r="24" spans="1:13" ht="14.5" customHeight="1" x14ac:dyDescent="0.35">
      <c r="A24" s="21"/>
      <c r="B24" s="21"/>
    </row>
    <row r="25" spans="1:13" ht="14.5" customHeight="1" x14ac:dyDescent="0.35">
      <c r="A25" s="21"/>
      <c r="B25" s="21"/>
    </row>
    <row r="26" spans="1:13" ht="14.5" customHeight="1" x14ac:dyDescent="0.35">
      <c r="A26" s="21"/>
      <c r="B26" s="21"/>
    </row>
    <row r="27" spans="1:13" ht="14.5" customHeight="1" x14ac:dyDescent="0.35">
      <c r="A27" s="21"/>
      <c r="B27" s="21"/>
    </row>
    <row r="28" spans="1:13" ht="14.5" customHeight="1" x14ac:dyDescent="0.35">
      <c r="A28" s="21"/>
      <c r="B28" s="21"/>
    </row>
    <row r="29" spans="1:13" ht="14.5" customHeight="1" x14ac:dyDescent="0.35">
      <c r="A29" s="21"/>
      <c r="B29" s="21"/>
    </row>
    <row r="30" spans="1:13" ht="14.5" customHeight="1" x14ac:dyDescent="0.35">
      <c r="A30" s="21"/>
      <c r="B30" s="21"/>
    </row>
    <row r="31" spans="1:13" ht="14.5" customHeight="1" x14ac:dyDescent="0.35">
      <c r="A31" s="21"/>
      <c r="B31" s="21"/>
    </row>
    <row r="32" spans="1:13" ht="14.5" customHeight="1" x14ac:dyDescent="0.35">
      <c r="A32" s="21"/>
      <c r="B32" s="21"/>
    </row>
    <row r="33" spans="1:2" ht="14.5" customHeight="1" x14ac:dyDescent="0.35">
      <c r="A33" s="21"/>
      <c r="B33" s="21"/>
    </row>
    <row r="34" spans="1:2" ht="14.5" customHeight="1" x14ac:dyDescent="0.35">
      <c r="A34" s="21"/>
      <c r="B34" s="21"/>
    </row>
    <row r="35" spans="1:2" ht="14.5" customHeight="1" x14ac:dyDescent="0.35">
      <c r="A35" s="21"/>
      <c r="B35" s="21"/>
    </row>
    <row r="36" spans="1:2" ht="14.5" customHeight="1" x14ac:dyDescent="0.35">
      <c r="A36" s="21"/>
      <c r="B36" s="21"/>
    </row>
    <row r="37" spans="1:2" ht="14.5" customHeight="1" x14ac:dyDescent="0.35">
      <c r="A37" s="21"/>
      <c r="B37" s="21"/>
    </row>
    <row r="38" spans="1:2" ht="14.5" customHeight="1" x14ac:dyDescent="0.35">
      <c r="A38" s="21"/>
      <c r="B38" s="21"/>
    </row>
    <row r="39" spans="1:2" ht="14.5" customHeight="1" x14ac:dyDescent="0.35">
      <c r="A39" s="21"/>
      <c r="B39" s="21"/>
    </row>
    <row r="40" spans="1:2" ht="14.5" customHeight="1" x14ac:dyDescent="0.35">
      <c r="A40" s="21"/>
      <c r="B40" s="21"/>
    </row>
    <row r="41" spans="1:2" ht="14.5" customHeight="1" x14ac:dyDescent="0.35">
      <c r="A41" s="21"/>
      <c r="B41" s="21"/>
    </row>
    <row r="42" spans="1:2" ht="14.5" customHeight="1" x14ac:dyDescent="0.35">
      <c r="A42" s="21"/>
      <c r="B42" s="21"/>
    </row>
    <row r="43" spans="1:2" ht="14.5" customHeight="1" x14ac:dyDescent="0.35">
      <c r="A43" s="21"/>
      <c r="B43" s="21"/>
    </row>
    <row r="44" spans="1:2" ht="14.5" customHeight="1" x14ac:dyDescent="0.35">
      <c r="A44" s="21"/>
      <c r="B44" s="21"/>
    </row>
    <row r="45" spans="1:2" ht="14.5" customHeight="1" x14ac:dyDescent="0.35">
      <c r="A45" s="21"/>
      <c r="B45" s="21"/>
    </row>
    <row r="46" spans="1:2" ht="14.5" customHeight="1" x14ac:dyDescent="0.35">
      <c r="A46" s="21"/>
      <c r="B46" s="21"/>
    </row>
    <row r="47" spans="1:2" ht="14.5" customHeight="1" x14ac:dyDescent="0.35">
      <c r="A47" s="21"/>
      <c r="B47" s="21"/>
    </row>
    <row r="48" spans="1:2" ht="14.5" customHeight="1" x14ac:dyDescent="0.35">
      <c r="A48" s="21"/>
      <c r="B48" s="21"/>
    </row>
    <row r="49" spans="1:2" ht="14.5" customHeight="1" x14ac:dyDescent="0.35">
      <c r="A49" s="21"/>
      <c r="B49" s="21"/>
    </row>
    <row r="50" spans="1:2" ht="14.5" customHeight="1" x14ac:dyDescent="0.35">
      <c r="A50" s="21"/>
      <c r="B50" s="21"/>
    </row>
    <row r="51" spans="1:2" ht="14.5" customHeight="1" x14ac:dyDescent="0.35">
      <c r="A51" s="21"/>
      <c r="B51" s="21"/>
    </row>
    <row r="52" spans="1:2" ht="14.5" customHeight="1" x14ac:dyDescent="0.35">
      <c r="A52" s="21"/>
      <c r="B52" s="21"/>
    </row>
    <row r="53" spans="1:2" ht="14.5" customHeight="1" x14ac:dyDescent="0.35">
      <c r="A53" s="21"/>
      <c r="B53" s="21"/>
    </row>
    <row r="54" spans="1:2" ht="14.5" customHeight="1" x14ac:dyDescent="0.35">
      <c r="A54" s="21"/>
      <c r="B54" s="21"/>
    </row>
    <row r="55" spans="1:2" ht="14.5" customHeight="1" x14ac:dyDescent="0.35">
      <c r="A55" s="21"/>
      <c r="B55" s="21"/>
    </row>
    <row r="56" spans="1:2" ht="14.5" customHeight="1" x14ac:dyDescent="0.35">
      <c r="A56" s="21"/>
      <c r="B56" s="21"/>
    </row>
    <row r="57" spans="1:2" ht="14.5" customHeight="1" x14ac:dyDescent="0.35">
      <c r="A57" s="21"/>
      <c r="B57" s="21"/>
    </row>
    <row r="58" spans="1:2" ht="14.5" customHeight="1" x14ac:dyDescent="0.35">
      <c r="A58" s="21"/>
      <c r="B58" s="21"/>
    </row>
    <row r="59" spans="1:2" ht="14.5" customHeight="1" x14ac:dyDescent="0.35">
      <c r="A59" s="21"/>
      <c r="B59" s="21"/>
    </row>
    <row r="60" spans="1:2" ht="14.5" customHeight="1" x14ac:dyDescent="0.35">
      <c r="A60" s="21"/>
      <c r="B60" s="21"/>
    </row>
    <row r="61" spans="1:2" ht="14.5" customHeight="1" x14ac:dyDescent="0.35">
      <c r="A61" s="21"/>
      <c r="B61" s="21"/>
    </row>
    <row r="62" spans="1:2" ht="14.5" customHeight="1" x14ac:dyDescent="0.35">
      <c r="A62" s="21"/>
      <c r="B62" s="21"/>
    </row>
    <row r="63" spans="1:2" ht="14.5" customHeight="1" x14ac:dyDescent="0.35">
      <c r="A63" s="21"/>
      <c r="B63" s="21"/>
    </row>
    <row r="64" spans="1:2" ht="14.5" customHeight="1" x14ac:dyDescent="0.35">
      <c r="A64" s="21"/>
      <c r="B64" s="21"/>
    </row>
    <row r="65" spans="1:2" ht="14.5" customHeight="1" x14ac:dyDescent="0.35">
      <c r="A65" s="21"/>
      <c r="B65" s="21"/>
    </row>
    <row r="66" spans="1:2" ht="14.5" customHeight="1" x14ac:dyDescent="0.35">
      <c r="A66" s="21"/>
      <c r="B66" s="21"/>
    </row>
    <row r="67" spans="1:2" ht="14.5" customHeight="1" x14ac:dyDescent="0.35">
      <c r="A67" s="21"/>
      <c r="B67" s="21"/>
    </row>
    <row r="68" spans="1:2" ht="14.5" customHeight="1" x14ac:dyDescent="0.35">
      <c r="A68" s="21"/>
      <c r="B68" s="21"/>
    </row>
    <row r="69" spans="1:2" ht="14.5" customHeight="1" x14ac:dyDescent="0.35">
      <c r="A69" s="21"/>
      <c r="B69" s="21"/>
    </row>
    <row r="70" spans="1:2" ht="14.5" customHeight="1" x14ac:dyDescent="0.35">
      <c r="A70" s="21"/>
      <c r="B70" s="21"/>
    </row>
    <row r="71" spans="1:2" ht="14.5" customHeight="1" x14ac:dyDescent="0.35">
      <c r="A71" s="21"/>
      <c r="B71" s="21"/>
    </row>
    <row r="72" spans="1:2" ht="14.5" customHeight="1" x14ac:dyDescent="0.35">
      <c r="A72" s="21"/>
      <c r="B72" s="21"/>
    </row>
    <row r="73" spans="1:2" ht="14.5" customHeight="1" x14ac:dyDescent="0.35">
      <c r="A73" s="21"/>
      <c r="B73" s="21"/>
    </row>
    <row r="74" spans="1:2" ht="14.5" customHeight="1" x14ac:dyDescent="0.35">
      <c r="A74" s="21"/>
      <c r="B74" s="21"/>
    </row>
    <row r="75" spans="1:2" ht="14.5" customHeight="1" x14ac:dyDescent="0.35">
      <c r="A75" s="21"/>
      <c r="B75" s="21"/>
    </row>
    <row r="76" spans="1:2" ht="14.5" customHeight="1" x14ac:dyDescent="0.35">
      <c r="A76" s="21"/>
      <c r="B76" s="21"/>
    </row>
    <row r="77" spans="1:2" ht="14.5" customHeight="1" x14ac:dyDescent="0.35">
      <c r="A77" s="21"/>
      <c r="B77" s="21"/>
    </row>
    <row r="78" spans="1:2" ht="14.5" customHeight="1" x14ac:dyDescent="0.35">
      <c r="A78" s="21"/>
      <c r="B78" s="21"/>
    </row>
    <row r="79" spans="1:2" ht="14.5" customHeight="1" x14ac:dyDescent="0.35">
      <c r="A79" s="21"/>
      <c r="B79" s="21"/>
    </row>
    <row r="80" spans="1:2" ht="14.5" customHeight="1" x14ac:dyDescent="0.35">
      <c r="A80" s="21"/>
      <c r="B80" s="21"/>
    </row>
    <row r="81" spans="1:2" ht="14.5" customHeight="1" x14ac:dyDescent="0.35">
      <c r="A81" s="21"/>
      <c r="B81" s="21"/>
    </row>
    <row r="82" spans="1:2" ht="14.5" customHeight="1" x14ac:dyDescent="0.35">
      <c r="A82" s="21"/>
      <c r="B82" s="21"/>
    </row>
    <row r="83" spans="1:2" ht="14.5" customHeight="1" x14ac:dyDescent="0.35">
      <c r="A83" s="21"/>
      <c r="B83" s="21"/>
    </row>
    <row r="84" spans="1:2" ht="14.5" customHeight="1" x14ac:dyDescent="0.35">
      <c r="A84" s="21"/>
      <c r="B84" s="21"/>
    </row>
    <row r="85" spans="1:2" ht="14.5" customHeight="1" x14ac:dyDescent="0.35">
      <c r="A85" s="21"/>
      <c r="B85" s="21"/>
    </row>
    <row r="86" spans="1:2" ht="14.5" customHeight="1" x14ac:dyDescent="0.35">
      <c r="A86" s="21"/>
      <c r="B86" s="21"/>
    </row>
    <row r="87" spans="1:2" ht="14.5" customHeight="1" x14ac:dyDescent="0.35">
      <c r="A87" s="21"/>
      <c r="B87" s="21"/>
    </row>
    <row r="88" spans="1:2" ht="14.5" customHeight="1" x14ac:dyDescent="0.35">
      <c r="A88" s="21"/>
      <c r="B88" s="21"/>
    </row>
    <row r="89" spans="1:2" ht="14.5" customHeight="1" x14ac:dyDescent="0.35">
      <c r="A89" s="21"/>
      <c r="B89" s="21"/>
    </row>
    <row r="90" spans="1:2" ht="14.5" customHeight="1" x14ac:dyDescent="0.35">
      <c r="A90" s="21"/>
      <c r="B90" s="21"/>
    </row>
    <row r="91" spans="1:2" ht="14.5" customHeight="1" x14ac:dyDescent="0.35">
      <c r="A91" s="21"/>
      <c r="B91" s="21"/>
    </row>
    <row r="92" spans="1:2" ht="14.5" customHeight="1" x14ac:dyDescent="0.35">
      <c r="A92" s="21"/>
      <c r="B92" s="21"/>
    </row>
    <row r="93" spans="1:2" ht="14.5" customHeight="1" x14ac:dyDescent="0.35">
      <c r="A93" s="21"/>
      <c r="B93" s="21"/>
    </row>
    <row r="94" spans="1:2" ht="14.5" customHeight="1" x14ac:dyDescent="0.35">
      <c r="A94" s="21"/>
      <c r="B94" s="21"/>
    </row>
    <row r="95" spans="1:2" ht="14.5" customHeight="1" x14ac:dyDescent="0.35">
      <c r="A95" s="21"/>
      <c r="B95" s="21"/>
    </row>
    <row r="96" spans="1:2" ht="14.5" customHeight="1" x14ac:dyDescent="0.35">
      <c r="A96" s="21"/>
      <c r="B96" s="21"/>
    </row>
    <row r="97" spans="1:2" ht="14.5" customHeight="1" x14ac:dyDescent="0.35">
      <c r="A97" s="21"/>
      <c r="B97" s="21"/>
    </row>
    <row r="98" spans="1:2" ht="14.5" customHeight="1" x14ac:dyDescent="0.35">
      <c r="A98" s="21"/>
      <c r="B98" s="21"/>
    </row>
    <row r="99" spans="1:2" ht="14.5" customHeight="1" x14ac:dyDescent="0.35">
      <c r="A99" s="21"/>
      <c r="B99" s="21"/>
    </row>
    <row r="100" spans="1:2" ht="14.5" customHeight="1" x14ac:dyDescent="0.35">
      <c r="A100" s="21"/>
      <c r="B100" s="21"/>
    </row>
    <row r="101" spans="1:2" ht="14.5" customHeight="1" x14ac:dyDescent="0.35">
      <c r="A101" s="21"/>
      <c r="B101" s="21"/>
    </row>
    <row r="102" spans="1:2" ht="14.5" customHeight="1" x14ac:dyDescent="0.35">
      <c r="A102" s="21"/>
      <c r="B102" s="21"/>
    </row>
    <row r="103" spans="1:2" ht="14.5" customHeight="1" x14ac:dyDescent="0.35">
      <c r="A103" s="21"/>
      <c r="B103" s="21"/>
    </row>
    <row r="104" spans="1:2" ht="14.5" customHeight="1" x14ac:dyDescent="0.35">
      <c r="A104" s="21"/>
      <c r="B104" s="21"/>
    </row>
    <row r="105" spans="1:2" ht="14.5" customHeight="1" x14ac:dyDescent="0.35">
      <c r="A105" s="21"/>
      <c r="B105" s="21"/>
    </row>
    <row r="106" spans="1:2" ht="14.5" customHeight="1" x14ac:dyDescent="0.35">
      <c r="A106" s="21"/>
      <c r="B106" s="21"/>
    </row>
    <row r="107" spans="1:2" ht="14.5" customHeight="1" x14ac:dyDescent="0.35">
      <c r="A107" s="21"/>
      <c r="B107" s="21"/>
    </row>
    <row r="108" spans="1:2" ht="14.5" customHeight="1" x14ac:dyDescent="0.35">
      <c r="A108" s="21"/>
      <c r="B108" s="21"/>
    </row>
    <row r="109" spans="1:2" ht="14.5" customHeight="1" x14ac:dyDescent="0.35">
      <c r="A109" s="21"/>
      <c r="B109" s="21"/>
    </row>
    <row r="110" spans="1:2" ht="14.5" customHeight="1" x14ac:dyDescent="0.35">
      <c r="A110" s="21"/>
      <c r="B110" s="21"/>
    </row>
    <row r="111" spans="1:2" ht="14.5" customHeight="1" x14ac:dyDescent="0.35">
      <c r="A111" s="21"/>
      <c r="B111" s="21"/>
    </row>
    <row r="112" spans="1:2" ht="14.5" customHeight="1" x14ac:dyDescent="0.35">
      <c r="A112" s="21"/>
      <c r="B112" s="21"/>
    </row>
    <row r="113" spans="1:2" ht="14.5" customHeight="1" x14ac:dyDescent="0.35">
      <c r="A113" s="21"/>
      <c r="B113" s="21"/>
    </row>
    <row r="114" spans="1:2" ht="14.5" customHeight="1" x14ac:dyDescent="0.35">
      <c r="A114" s="21"/>
      <c r="B114" s="21"/>
    </row>
    <row r="115" spans="1:2" ht="14.5" customHeight="1" x14ac:dyDescent="0.35">
      <c r="A115" s="21"/>
      <c r="B115" s="21"/>
    </row>
    <row r="116" spans="1:2" ht="14.5" customHeight="1" x14ac:dyDescent="0.35">
      <c r="A116" s="21"/>
      <c r="B116" s="21"/>
    </row>
    <row r="117" spans="1:2" ht="14.5" customHeight="1" x14ac:dyDescent="0.35">
      <c r="A117" s="21"/>
      <c r="B117" s="21"/>
    </row>
    <row r="118" spans="1:2" ht="14.5" customHeight="1" x14ac:dyDescent="0.35">
      <c r="A118" s="21"/>
      <c r="B118" s="21"/>
    </row>
    <row r="119" spans="1:2" ht="14.5" customHeight="1" x14ac:dyDescent="0.35">
      <c r="A119" s="21"/>
      <c r="B119" s="21"/>
    </row>
    <row r="120" spans="1:2" ht="14.5" customHeight="1" x14ac:dyDescent="0.35">
      <c r="A120" s="21"/>
      <c r="B120" s="21"/>
    </row>
    <row r="121" spans="1:2" ht="14.5" customHeight="1" x14ac:dyDescent="0.35">
      <c r="A121" s="21"/>
      <c r="B121" s="21"/>
    </row>
    <row r="122" spans="1:2" ht="14.5" customHeight="1" x14ac:dyDescent="0.35">
      <c r="A122" s="21"/>
      <c r="B122" s="21"/>
    </row>
    <row r="123" spans="1:2" ht="14.5" customHeight="1" x14ac:dyDescent="0.35">
      <c r="A123" s="21"/>
      <c r="B123" s="21"/>
    </row>
    <row r="124" spans="1:2" ht="14.5" customHeight="1" x14ac:dyDescent="0.35">
      <c r="A124" s="21"/>
      <c r="B124" s="21"/>
    </row>
    <row r="125" spans="1:2" ht="14.5" customHeight="1" x14ac:dyDescent="0.35">
      <c r="A125" s="21"/>
      <c r="B125" s="21"/>
    </row>
    <row r="126" spans="1:2" ht="14.5" customHeight="1" x14ac:dyDescent="0.35">
      <c r="A126" s="21"/>
      <c r="B126" s="21"/>
    </row>
    <row r="127" spans="1:2" ht="14.5" customHeight="1" x14ac:dyDescent="0.35">
      <c r="A127" s="21"/>
      <c r="B127" s="21"/>
    </row>
    <row r="128" spans="1:2" ht="14.5" customHeight="1" x14ac:dyDescent="0.35">
      <c r="A128" s="21"/>
      <c r="B128" s="21"/>
    </row>
    <row r="129" spans="1:13" ht="14.5" customHeight="1" x14ac:dyDescent="0.35">
      <c r="A129" s="21"/>
      <c r="B129" s="21"/>
    </row>
    <row r="130" spans="1:13" x14ac:dyDescent="0.35">
      <c r="A130" s="21"/>
      <c r="B130" s="21"/>
      <c r="C130" s="26"/>
      <c r="D130" s="26"/>
      <c r="E130" s="26"/>
      <c r="F130" s="24"/>
      <c r="G130" s="24"/>
      <c r="H130" s="25"/>
      <c r="I130" s="24"/>
      <c r="J130" s="24"/>
      <c r="K130" s="26"/>
      <c r="L130" s="21"/>
      <c r="M130" s="21"/>
    </row>
    <row r="131" spans="1:13" x14ac:dyDescent="0.35">
      <c r="A131" s="21"/>
      <c r="B131" s="21"/>
      <c r="C131" s="26"/>
      <c r="D131" s="26"/>
      <c r="E131" s="26"/>
      <c r="F131" s="24"/>
      <c r="G131" s="24"/>
      <c r="H131" s="25"/>
      <c r="I131" s="24"/>
      <c r="J131" s="24"/>
      <c r="K131" s="26"/>
      <c r="L131" s="21"/>
      <c r="M131" s="21"/>
    </row>
    <row r="132" spans="1:13" x14ac:dyDescent="0.35">
      <c r="A132" s="21"/>
      <c r="B132" s="21"/>
      <c r="C132" s="26"/>
      <c r="D132" s="26"/>
      <c r="E132" s="26"/>
      <c r="F132" s="24"/>
      <c r="G132" s="24"/>
      <c r="H132" s="25"/>
      <c r="I132" s="24"/>
      <c r="J132" s="24"/>
      <c r="K132" s="26"/>
      <c r="L132" s="21"/>
      <c r="M132" s="21"/>
    </row>
    <row r="133" spans="1:13" x14ac:dyDescent="0.35">
      <c r="A133" s="21"/>
      <c r="B133" s="21"/>
      <c r="C133" s="26"/>
      <c r="D133" s="26"/>
      <c r="E133" s="26"/>
      <c r="F133" s="24"/>
      <c r="G133" s="24"/>
      <c r="H133" s="25"/>
      <c r="I133" s="24"/>
      <c r="J133" s="24"/>
      <c r="K133" s="26"/>
      <c r="L133" s="21"/>
      <c r="M133" s="21"/>
    </row>
    <row r="134" spans="1:13" x14ac:dyDescent="0.35">
      <c r="A134" s="21"/>
      <c r="B134" s="21"/>
      <c r="C134" s="26"/>
      <c r="D134" s="26"/>
      <c r="E134" s="26"/>
      <c r="F134" s="24"/>
      <c r="G134" s="24"/>
      <c r="H134" s="25"/>
      <c r="I134" s="24"/>
      <c r="J134" s="24"/>
      <c r="K134" s="26"/>
      <c r="L134" s="21"/>
      <c r="M134" s="21"/>
    </row>
    <row r="135" spans="1:13" x14ac:dyDescent="0.35">
      <c r="A135" s="21"/>
      <c r="B135" s="21"/>
      <c r="C135" s="26"/>
      <c r="D135" s="26"/>
      <c r="E135" s="26"/>
      <c r="F135" s="24"/>
      <c r="G135" s="24"/>
      <c r="H135" s="25"/>
      <c r="I135" s="24"/>
      <c r="J135" s="24"/>
      <c r="K135" s="26"/>
      <c r="L135" s="21"/>
      <c r="M135" s="21"/>
    </row>
    <row r="136" spans="1:13" x14ac:dyDescent="0.35">
      <c r="A136" s="21"/>
      <c r="B136" s="21"/>
      <c r="C136" s="26"/>
      <c r="D136" s="26"/>
      <c r="E136" s="26"/>
      <c r="F136" s="24"/>
      <c r="G136" s="24"/>
      <c r="H136" s="25"/>
      <c r="I136" s="24"/>
      <c r="J136" s="24"/>
      <c r="K136" s="26"/>
      <c r="L136" s="21"/>
      <c r="M136" s="21"/>
    </row>
    <row r="137" spans="1:13" x14ac:dyDescent="0.35">
      <c r="A137" s="21"/>
      <c r="B137" s="21"/>
      <c r="C137" s="26"/>
      <c r="D137" s="26"/>
      <c r="E137" s="26"/>
      <c r="F137" s="24"/>
      <c r="G137" s="24"/>
      <c r="H137" s="25"/>
      <c r="I137" s="24"/>
      <c r="J137" s="24"/>
      <c r="K137" s="26"/>
      <c r="L137" s="21"/>
      <c r="M137" s="21"/>
    </row>
    <row r="138" spans="1:13" x14ac:dyDescent="0.35">
      <c r="A138" s="21"/>
      <c r="B138" s="21"/>
      <c r="C138" s="26"/>
      <c r="D138" s="26"/>
      <c r="E138" s="26"/>
      <c r="F138" s="24"/>
      <c r="G138" s="24"/>
      <c r="H138" s="25"/>
      <c r="I138" s="24"/>
      <c r="J138" s="24"/>
      <c r="K138" s="26"/>
      <c r="L138" s="21"/>
      <c r="M138" s="21"/>
    </row>
    <row r="139" spans="1:13" x14ac:dyDescent="0.35">
      <c r="A139" s="21"/>
      <c r="B139" s="21"/>
      <c r="C139" s="26"/>
      <c r="D139" s="26"/>
      <c r="E139" s="26"/>
      <c r="F139" s="24"/>
      <c r="G139" s="24"/>
      <c r="H139" s="25"/>
      <c r="I139" s="24"/>
      <c r="J139" s="24"/>
      <c r="K139" s="26"/>
      <c r="L139" s="21"/>
      <c r="M139" s="21"/>
    </row>
    <row r="140" spans="1:13" x14ac:dyDescent="0.35">
      <c r="A140" s="21"/>
      <c r="B140" s="21"/>
      <c r="C140" s="26"/>
      <c r="D140" s="26"/>
      <c r="E140" s="26"/>
      <c r="F140" s="24"/>
      <c r="G140" s="24"/>
      <c r="H140" s="25"/>
      <c r="I140" s="24"/>
      <c r="J140" s="24"/>
      <c r="K140" s="26"/>
      <c r="L140" s="21"/>
      <c r="M140" s="21"/>
    </row>
    <row r="141" spans="1:13" x14ac:dyDescent="0.35">
      <c r="A141" s="21"/>
      <c r="B141" s="21"/>
      <c r="C141" s="26"/>
      <c r="D141" s="26"/>
      <c r="E141" s="26"/>
      <c r="F141" s="24"/>
      <c r="G141" s="24"/>
      <c r="H141" s="25"/>
      <c r="I141" s="24"/>
      <c r="J141" s="24"/>
      <c r="K141" s="26"/>
      <c r="L141" s="21"/>
      <c r="M141" s="21"/>
    </row>
    <row r="142" spans="1:13" x14ac:dyDescent="0.35">
      <c r="A142" s="21"/>
      <c r="B142" s="21"/>
      <c r="C142" s="26"/>
      <c r="D142" s="26"/>
      <c r="E142" s="26"/>
      <c r="F142" s="24"/>
      <c r="G142" s="24"/>
      <c r="H142" s="25"/>
      <c r="I142" s="24"/>
      <c r="J142" s="24"/>
      <c r="K142" s="26"/>
      <c r="L142" s="21"/>
      <c r="M142" s="21"/>
    </row>
    <row r="143" spans="1:13" x14ac:dyDescent="0.35">
      <c r="A143" s="21"/>
      <c r="B143" s="21"/>
      <c r="C143" s="26"/>
      <c r="D143" s="26"/>
      <c r="E143" s="26"/>
      <c r="F143" s="24"/>
      <c r="G143" s="24"/>
      <c r="H143" s="25"/>
      <c r="I143" s="24"/>
      <c r="J143" s="24"/>
      <c r="K143" s="26"/>
      <c r="L143" s="21"/>
      <c r="M143" s="21"/>
    </row>
    <row r="144" spans="1:13" x14ac:dyDescent="0.35">
      <c r="A144" s="21"/>
      <c r="B144" s="21"/>
      <c r="C144" s="26"/>
      <c r="D144" s="26"/>
      <c r="E144" s="26"/>
      <c r="F144" s="24"/>
      <c r="G144" s="24"/>
      <c r="H144" s="25"/>
      <c r="I144" s="24"/>
      <c r="J144" s="24"/>
      <c r="K144" s="26"/>
      <c r="L144" s="21"/>
      <c r="M144" s="21"/>
    </row>
    <row r="145" spans="1:13" x14ac:dyDescent="0.35">
      <c r="A145" s="21"/>
      <c r="B145" s="21"/>
      <c r="C145" s="26"/>
      <c r="D145" s="26"/>
      <c r="E145" s="26"/>
      <c r="F145" s="24"/>
      <c r="G145" s="24"/>
      <c r="H145" s="25"/>
      <c r="I145" s="24"/>
      <c r="J145" s="24"/>
      <c r="K145" s="26"/>
      <c r="L145" s="21"/>
      <c r="M145" s="21"/>
    </row>
    <row r="146" spans="1:13" x14ac:dyDescent="0.35">
      <c r="A146" s="21"/>
      <c r="B146" s="21"/>
      <c r="C146" s="26"/>
      <c r="D146" s="26"/>
      <c r="E146" s="26"/>
      <c r="F146" s="24"/>
      <c r="G146" s="24"/>
      <c r="H146" s="25"/>
      <c r="I146" s="24"/>
      <c r="J146" s="24"/>
      <c r="K146" s="26"/>
      <c r="L146" s="21"/>
      <c r="M146" s="21"/>
    </row>
    <row r="147" spans="1:13" x14ac:dyDescent="0.35">
      <c r="A147" s="21"/>
      <c r="B147" s="21"/>
      <c r="C147" s="26"/>
      <c r="D147" s="26"/>
      <c r="E147" s="26"/>
      <c r="F147" s="24"/>
      <c r="G147" s="24"/>
      <c r="H147" s="25"/>
      <c r="I147" s="24"/>
      <c r="J147" s="24"/>
      <c r="K147" s="26"/>
      <c r="L147" s="21"/>
      <c r="M147" s="21"/>
    </row>
    <row r="148" spans="1:13" x14ac:dyDescent="0.35">
      <c r="A148" s="21"/>
      <c r="B148" s="21"/>
      <c r="C148" s="26"/>
      <c r="D148" s="26"/>
      <c r="E148" s="26"/>
      <c r="F148" s="24"/>
      <c r="G148" s="24"/>
      <c r="H148" s="25"/>
      <c r="I148" s="24"/>
      <c r="J148" s="24"/>
      <c r="K148" s="26"/>
      <c r="L148" s="21"/>
      <c r="M148" s="21"/>
    </row>
    <row r="149" spans="1:13" x14ac:dyDescent="0.35">
      <c r="A149" s="21"/>
      <c r="B149" s="21"/>
      <c r="C149" s="26"/>
      <c r="D149" s="26"/>
      <c r="E149" s="26"/>
      <c r="F149" s="24"/>
      <c r="G149" s="24"/>
      <c r="H149" s="25"/>
      <c r="I149" s="24"/>
      <c r="J149" s="24"/>
      <c r="K149" s="26"/>
      <c r="L149" s="21"/>
      <c r="M149" s="21"/>
    </row>
    <row r="150" spans="1:13" x14ac:dyDescent="0.35">
      <c r="A150" s="21"/>
      <c r="B150" s="21"/>
      <c r="C150" s="26"/>
      <c r="D150" s="26"/>
      <c r="E150" s="26"/>
      <c r="F150" s="24"/>
      <c r="G150" s="24"/>
      <c r="H150" s="25"/>
      <c r="I150" s="24"/>
      <c r="J150" s="24"/>
      <c r="K150" s="26"/>
      <c r="L150" s="21"/>
      <c r="M150" s="21"/>
    </row>
    <row r="151" spans="1:13" x14ac:dyDescent="0.35">
      <c r="A151" s="21"/>
      <c r="B151" s="21"/>
      <c r="C151" s="26"/>
      <c r="D151" s="26"/>
      <c r="E151" s="26"/>
      <c r="F151" s="24"/>
      <c r="G151" s="24"/>
      <c r="H151" s="25"/>
      <c r="I151" s="24"/>
      <c r="J151" s="24"/>
      <c r="K151" s="26"/>
      <c r="L151" s="21"/>
      <c r="M151" s="21"/>
    </row>
    <row r="152" spans="1:13" x14ac:dyDescent="0.35">
      <c r="A152" s="21"/>
      <c r="B152" s="21"/>
      <c r="C152" s="26"/>
      <c r="D152" s="26"/>
      <c r="E152" s="26"/>
      <c r="F152" s="24"/>
      <c r="G152" s="24"/>
      <c r="H152" s="25"/>
      <c r="I152" s="24"/>
      <c r="J152" s="24"/>
      <c r="K152" s="26"/>
      <c r="L152" s="21"/>
      <c r="M152" s="21"/>
    </row>
    <row r="153" spans="1:13" x14ac:dyDescent="0.35">
      <c r="A153" s="21"/>
      <c r="B153" s="21"/>
      <c r="C153" s="26"/>
      <c r="D153" s="26"/>
      <c r="E153" s="26"/>
      <c r="F153" s="24"/>
      <c r="G153" s="24"/>
      <c r="H153" s="25"/>
      <c r="I153" s="24"/>
      <c r="J153" s="24"/>
      <c r="K153" s="26"/>
      <c r="L153" s="21"/>
      <c r="M153" s="21"/>
    </row>
    <row r="154" spans="1:13" x14ac:dyDescent="0.35">
      <c r="A154" s="21"/>
      <c r="B154" s="21"/>
      <c r="C154" s="26"/>
      <c r="D154" s="26"/>
      <c r="E154" s="26"/>
      <c r="F154" s="24"/>
      <c r="G154" s="24"/>
      <c r="H154" s="25"/>
      <c r="I154" s="24"/>
      <c r="J154" s="24"/>
      <c r="K154" s="26"/>
      <c r="L154" s="21"/>
      <c r="M154" s="21"/>
    </row>
    <row r="155" spans="1:13" x14ac:dyDescent="0.35">
      <c r="A155" s="21"/>
      <c r="B155" s="21"/>
      <c r="C155" s="26"/>
      <c r="D155" s="26"/>
      <c r="E155" s="26"/>
      <c r="F155" s="24"/>
      <c r="G155" s="24"/>
      <c r="H155" s="25"/>
      <c r="I155" s="24"/>
      <c r="J155" s="24"/>
      <c r="K155" s="26"/>
      <c r="L155" s="21"/>
      <c r="M155" s="21"/>
    </row>
    <row r="156" spans="1:13" x14ac:dyDescent="0.35">
      <c r="A156" s="21"/>
      <c r="B156" s="21"/>
      <c r="C156" s="26"/>
      <c r="D156" s="26"/>
      <c r="E156" s="26"/>
      <c r="F156" s="24"/>
      <c r="G156" s="24"/>
      <c r="H156" s="25"/>
      <c r="I156" s="24"/>
      <c r="J156" s="24"/>
      <c r="K156" s="26"/>
      <c r="L156" s="21"/>
      <c r="M156" s="21"/>
    </row>
    <row r="157" spans="1:13" x14ac:dyDescent="0.35">
      <c r="A157" s="21"/>
      <c r="B157" s="21"/>
      <c r="C157" s="26"/>
      <c r="D157" s="26"/>
      <c r="E157" s="26"/>
      <c r="F157" s="24"/>
      <c r="G157" s="24"/>
      <c r="H157" s="25"/>
      <c r="I157" s="24"/>
      <c r="J157" s="24"/>
      <c r="K157" s="26"/>
      <c r="L157" s="21"/>
      <c r="M157" s="21"/>
    </row>
    <row r="158" spans="1:13" x14ac:dyDescent="0.35">
      <c r="A158" s="21"/>
      <c r="B158" s="21"/>
      <c r="C158" s="26"/>
      <c r="D158" s="26"/>
      <c r="E158" s="26"/>
      <c r="F158" s="24"/>
      <c r="G158" s="24"/>
      <c r="H158" s="25"/>
      <c r="I158" s="24"/>
      <c r="J158" s="24"/>
      <c r="K158" s="26"/>
      <c r="L158" s="21"/>
      <c r="M158" s="21"/>
    </row>
    <row r="159" spans="1:13" x14ac:dyDescent="0.35">
      <c r="A159" s="21"/>
      <c r="B159" s="21"/>
      <c r="C159" s="26"/>
      <c r="D159" s="26"/>
      <c r="E159" s="26"/>
      <c r="F159" s="24"/>
      <c r="G159" s="24"/>
      <c r="H159" s="25"/>
      <c r="I159" s="24"/>
      <c r="J159" s="24"/>
      <c r="K159" s="26"/>
      <c r="L159" s="21"/>
      <c r="M159" s="21"/>
    </row>
    <row r="160" spans="1:13" x14ac:dyDescent="0.35">
      <c r="A160" s="21"/>
      <c r="B160" s="21"/>
      <c r="C160" s="26"/>
      <c r="D160" s="26"/>
      <c r="E160" s="26"/>
      <c r="F160" s="24"/>
      <c r="G160" s="24"/>
      <c r="H160" s="25"/>
      <c r="I160" s="24"/>
      <c r="J160" s="24"/>
      <c r="K160" s="26"/>
      <c r="L160" s="21"/>
      <c r="M160" s="21"/>
    </row>
    <row r="161" spans="1:13" x14ac:dyDescent="0.35">
      <c r="A161" s="21"/>
      <c r="B161" s="21"/>
      <c r="C161" s="26"/>
      <c r="D161" s="26"/>
      <c r="E161" s="26"/>
      <c r="F161" s="24"/>
      <c r="G161" s="24"/>
      <c r="H161" s="25"/>
      <c r="I161" s="24"/>
      <c r="J161" s="24"/>
      <c r="K161" s="26"/>
      <c r="L161" s="21"/>
      <c r="M161" s="21"/>
    </row>
    <row r="162" spans="1:13" x14ac:dyDescent="0.35">
      <c r="A162" s="21"/>
      <c r="B162" s="21"/>
      <c r="C162" s="26"/>
      <c r="D162" s="26"/>
      <c r="E162" s="26"/>
      <c r="F162" s="24"/>
      <c r="G162" s="24"/>
      <c r="H162" s="25"/>
      <c r="I162" s="24"/>
      <c r="J162" s="24"/>
      <c r="K162" s="26"/>
      <c r="L162" s="21"/>
      <c r="M162" s="21"/>
    </row>
    <row r="163" spans="1:13" x14ac:dyDescent="0.35">
      <c r="A163" s="21"/>
      <c r="B163" s="21"/>
      <c r="C163" s="26"/>
      <c r="D163" s="26"/>
      <c r="E163" s="26"/>
      <c r="F163" s="24"/>
      <c r="G163" s="24"/>
      <c r="H163" s="25"/>
      <c r="I163" s="24"/>
      <c r="J163" s="24"/>
      <c r="K163" s="26"/>
      <c r="L163" s="21"/>
      <c r="M163" s="21"/>
    </row>
    <row r="164" spans="1:13" x14ac:dyDescent="0.35">
      <c r="A164" s="21"/>
      <c r="B164" s="21"/>
      <c r="C164" s="26"/>
      <c r="D164" s="26"/>
      <c r="E164" s="26"/>
      <c r="F164" s="24"/>
      <c r="G164" s="24"/>
      <c r="H164" s="25"/>
      <c r="I164" s="24"/>
      <c r="J164" s="24"/>
      <c r="K164" s="26"/>
      <c r="L164" s="21"/>
      <c r="M164" s="21"/>
    </row>
    <row r="165" spans="1:13" x14ac:dyDescent="0.35">
      <c r="A165" s="21"/>
      <c r="B165" s="21"/>
      <c r="C165" s="26"/>
      <c r="D165" s="26"/>
      <c r="E165" s="26"/>
      <c r="F165" s="24"/>
      <c r="G165" s="24"/>
      <c r="H165" s="25"/>
      <c r="I165" s="24"/>
      <c r="J165" s="24"/>
      <c r="K165" s="26"/>
      <c r="L165" s="21"/>
      <c r="M165" s="21"/>
    </row>
    <row r="166" spans="1:13" x14ac:dyDescent="0.35">
      <c r="A166" s="21"/>
      <c r="B166" s="21"/>
      <c r="C166" s="26"/>
      <c r="D166" s="26"/>
      <c r="E166" s="26"/>
      <c r="F166" s="24"/>
      <c r="G166" s="24"/>
      <c r="H166" s="25"/>
      <c r="I166" s="24"/>
      <c r="J166" s="24"/>
      <c r="K166" s="26"/>
      <c r="L166" s="21"/>
      <c r="M166" s="21"/>
    </row>
    <row r="167" spans="1:13" x14ac:dyDescent="0.35">
      <c r="A167" s="21"/>
      <c r="B167" s="21"/>
      <c r="C167" s="26"/>
      <c r="D167" s="26"/>
      <c r="E167" s="26"/>
      <c r="F167" s="24"/>
      <c r="G167" s="24"/>
      <c r="H167" s="25"/>
      <c r="I167" s="24"/>
      <c r="J167" s="24"/>
      <c r="K167" s="26"/>
      <c r="L167" s="21"/>
      <c r="M167" s="21"/>
    </row>
    <row r="168" spans="1:13" x14ac:dyDescent="0.35">
      <c r="A168" s="21"/>
      <c r="B168" s="21"/>
      <c r="C168" s="26"/>
      <c r="D168" s="26"/>
      <c r="E168" s="26"/>
      <c r="F168" s="24"/>
      <c r="G168" s="24"/>
      <c r="H168" s="25"/>
      <c r="I168" s="24"/>
      <c r="J168" s="24"/>
      <c r="K168" s="26"/>
      <c r="L168" s="21"/>
      <c r="M168" s="21"/>
    </row>
    <row r="169" spans="1:13" x14ac:dyDescent="0.35">
      <c r="A169" s="21"/>
      <c r="B169" s="21"/>
      <c r="C169" s="26"/>
      <c r="D169" s="26"/>
      <c r="E169" s="26"/>
      <c r="F169" s="24"/>
      <c r="G169" s="24"/>
      <c r="H169" s="25"/>
      <c r="I169" s="24"/>
      <c r="J169" s="24"/>
      <c r="K169" s="26"/>
      <c r="L169" s="21"/>
      <c r="M169" s="21"/>
    </row>
    <row r="170" spans="1:13" x14ac:dyDescent="0.35">
      <c r="A170" s="21"/>
      <c r="B170" s="21"/>
      <c r="C170" s="26"/>
      <c r="D170" s="26"/>
      <c r="E170" s="26"/>
      <c r="F170" s="24"/>
      <c r="G170" s="24"/>
      <c r="H170" s="25"/>
      <c r="I170" s="24"/>
      <c r="J170" s="24"/>
      <c r="K170" s="26"/>
      <c r="L170" s="21"/>
      <c r="M170" s="21"/>
    </row>
    <row r="171" spans="1:13" x14ac:dyDescent="0.35">
      <c r="A171" s="21"/>
      <c r="B171" s="21"/>
      <c r="C171" s="26"/>
      <c r="D171" s="26"/>
      <c r="E171" s="26"/>
      <c r="F171" s="24"/>
      <c r="G171" s="24"/>
      <c r="H171" s="25"/>
      <c r="I171" s="24"/>
      <c r="J171" s="24"/>
      <c r="K171" s="26"/>
      <c r="L171" s="21"/>
      <c r="M171" s="21"/>
    </row>
    <row r="172" spans="1:13" x14ac:dyDescent="0.35">
      <c r="A172" s="21"/>
      <c r="B172" s="21"/>
      <c r="C172" s="26"/>
      <c r="D172" s="26"/>
      <c r="E172" s="26"/>
      <c r="F172" s="24"/>
      <c r="G172" s="24"/>
      <c r="H172" s="25"/>
      <c r="I172" s="24"/>
      <c r="J172" s="24"/>
      <c r="K172" s="26"/>
      <c r="L172" s="21"/>
      <c r="M172" s="21"/>
    </row>
    <row r="173" spans="1:13" x14ac:dyDescent="0.35">
      <c r="A173" s="21"/>
      <c r="B173" s="21"/>
      <c r="C173" s="26"/>
      <c r="D173" s="26"/>
      <c r="E173" s="26"/>
      <c r="F173" s="24"/>
      <c r="G173" s="24"/>
      <c r="H173" s="25"/>
      <c r="I173" s="24"/>
      <c r="J173" s="24"/>
      <c r="K173" s="26"/>
      <c r="L173" s="21"/>
      <c r="M173" s="21"/>
    </row>
    <row r="174" spans="1:13" x14ac:dyDescent="0.35">
      <c r="A174" s="21"/>
      <c r="B174" s="21"/>
      <c r="C174" s="26"/>
      <c r="D174" s="26"/>
      <c r="E174" s="26"/>
      <c r="F174" s="24"/>
      <c r="G174" s="24"/>
      <c r="H174" s="25"/>
      <c r="I174" s="24"/>
      <c r="J174" s="24"/>
      <c r="K174" s="26"/>
      <c r="L174" s="21"/>
      <c r="M174" s="21"/>
    </row>
    <row r="175" spans="1:13" x14ac:dyDescent="0.35">
      <c r="A175" s="21"/>
      <c r="B175" s="21"/>
      <c r="C175" s="26"/>
      <c r="D175" s="26"/>
      <c r="E175" s="26"/>
      <c r="F175" s="24"/>
      <c r="G175" s="24"/>
      <c r="H175" s="25"/>
      <c r="I175" s="24"/>
      <c r="J175" s="24"/>
      <c r="K175" s="26"/>
      <c r="L175" s="21"/>
      <c r="M175" s="21"/>
    </row>
    <row r="176" spans="1:13" x14ac:dyDescent="0.35">
      <c r="A176" s="21"/>
      <c r="B176" s="21"/>
      <c r="C176" s="26"/>
      <c r="D176" s="26"/>
      <c r="E176" s="26"/>
      <c r="F176" s="24"/>
      <c r="G176" s="24"/>
      <c r="H176" s="25"/>
      <c r="I176" s="24"/>
      <c r="J176" s="24"/>
      <c r="K176" s="26"/>
      <c r="L176" s="21"/>
      <c r="M176" s="21"/>
    </row>
    <row r="177" spans="1:13" x14ac:dyDescent="0.35">
      <c r="A177" s="21"/>
      <c r="B177" s="21"/>
      <c r="C177" s="26"/>
      <c r="D177" s="26"/>
      <c r="E177" s="26"/>
      <c r="F177" s="26"/>
      <c r="G177" s="26"/>
      <c r="H177" s="26"/>
      <c r="I177" s="26"/>
      <c r="J177" s="26"/>
      <c r="K177" s="26"/>
      <c r="L177" s="21"/>
      <c r="M177" s="21"/>
    </row>
    <row r="178" spans="1:13" x14ac:dyDescent="0.35">
      <c r="A178" s="21"/>
      <c r="B178" s="21"/>
      <c r="C178" s="26"/>
      <c r="D178" s="26"/>
      <c r="E178" s="26"/>
      <c r="F178" s="26"/>
      <c r="G178" s="26"/>
      <c r="H178" s="27"/>
      <c r="I178" s="27"/>
      <c r="J178" s="26"/>
      <c r="K178" s="26"/>
      <c r="L178" s="21"/>
      <c r="M178" s="21"/>
    </row>
    <row r="179" spans="1:13" x14ac:dyDescent="0.35">
      <c r="A179" s="21"/>
      <c r="B179" s="21"/>
      <c r="C179" s="26"/>
      <c r="D179" s="26"/>
      <c r="E179" s="26"/>
      <c r="F179" s="26"/>
      <c r="G179" s="26"/>
      <c r="H179" s="26"/>
      <c r="I179" s="26"/>
      <c r="J179" s="26"/>
      <c r="K179" s="26"/>
      <c r="L179" s="21"/>
      <c r="M179" s="21"/>
    </row>
    <row r="180" spans="1:13" x14ac:dyDescent="0.35">
      <c r="A180" s="21"/>
      <c r="B180" s="21"/>
      <c r="C180" s="26"/>
      <c r="D180" s="26"/>
      <c r="E180" s="26"/>
      <c r="F180" s="26"/>
      <c r="G180" s="26"/>
      <c r="H180" s="26"/>
      <c r="I180" s="26"/>
      <c r="J180" s="26"/>
      <c r="K180" s="26"/>
      <c r="L180" s="21"/>
      <c r="M180" s="21"/>
    </row>
    <row r="181" spans="1:13" x14ac:dyDescent="0.35">
      <c r="A181" s="21"/>
      <c r="B181" s="21"/>
      <c r="C181" s="26"/>
      <c r="D181" s="26"/>
      <c r="E181" s="26"/>
      <c r="F181" s="26"/>
      <c r="G181" s="26"/>
      <c r="H181" s="26"/>
      <c r="I181" s="26"/>
      <c r="J181" s="26"/>
      <c r="K181" s="26"/>
      <c r="L181" s="21"/>
      <c r="M181" s="21"/>
    </row>
    <row r="182" spans="1:13" x14ac:dyDescent="0.35">
      <c r="A182" s="21"/>
      <c r="B182" s="21"/>
      <c r="C182" s="26"/>
      <c r="D182" s="26"/>
      <c r="E182" s="26"/>
      <c r="F182" s="26"/>
      <c r="G182" s="26"/>
      <c r="H182" s="26"/>
      <c r="I182" s="26"/>
      <c r="J182" s="26"/>
      <c r="K182" s="26"/>
      <c r="L182" s="21"/>
      <c r="M182" s="21"/>
    </row>
    <row r="183" spans="1:13" x14ac:dyDescent="0.35">
      <c r="A183" s="21"/>
      <c r="B183" s="21"/>
      <c r="C183" s="26"/>
      <c r="D183" s="26"/>
      <c r="E183" s="26"/>
      <c r="F183" s="26"/>
      <c r="G183" s="26"/>
      <c r="H183" s="26"/>
      <c r="I183" s="26"/>
      <c r="J183" s="26"/>
      <c r="K183" s="26"/>
      <c r="L183" s="21"/>
      <c r="M183" s="21"/>
    </row>
    <row r="184" spans="1:13" x14ac:dyDescent="0.35">
      <c r="A184" s="21"/>
      <c r="B184" s="21"/>
      <c r="C184" s="26"/>
      <c r="D184" s="26"/>
      <c r="E184" s="26"/>
      <c r="F184" s="26"/>
      <c r="G184" s="26"/>
      <c r="H184" s="26"/>
      <c r="I184" s="26"/>
      <c r="J184" s="26"/>
      <c r="K184" s="26"/>
      <c r="L184" s="21"/>
      <c r="M184" s="21"/>
    </row>
    <row r="185" spans="1:13" x14ac:dyDescent="0.35">
      <c r="A185" s="21"/>
      <c r="B185" s="21"/>
      <c r="C185" s="26"/>
      <c r="D185" s="26"/>
      <c r="E185" s="26"/>
      <c r="F185" s="26"/>
      <c r="G185" s="26"/>
      <c r="H185" s="26"/>
      <c r="I185" s="26"/>
      <c r="J185" s="26"/>
      <c r="K185" s="26"/>
      <c r="L185" s="21"/>
      <c r="M185" s="21"/>
    </row>
    <row r="186" spans="1:13" x14ac:dyDescent="0.35">
      <c r="A186" s="21"/>
      <c r="B186" s="21"/>
      <c r="C186" s="26"/>
      <c r="D186" s="26"/>
      <c r="E186" s="26"/>
      <c r="F186" s="26"/>
      <c r="G186" s="26"/>
      <c r="H186" s="26"/>
      <c r="I186" s="26"/>
      <c r="J186" s="26"/>
      <c r="K186" s="26"/>
      <c r="L186" s="21"/>
      <c r="M186" s="21"/>
    </row>
    <row r="187" spans="1:13" x14ac:dyDescent="0.35">
      <c r="A187" s="21"/>
      <c r="B187" s="21"/>
      <c r="C187" s="26"/>
      <c r="D187" s="26"/>
      <c r="E187" s="26"/>
      <c r="F187" s="26"/>
      <c r="G187" s="26"/>
      <c r="H187" s="26"/>
      <c r="I187" s="26"/>
      <c r="J187" s="26"/>
      <c r="K187" s="26"/>
      <c r="L187" s="21"/>
      <c r="M187" s="21"/>
    </row>
    <row r="188" spans="1:13" x14ac:dyDescent="0.35">
      <c r="A188" s="21"/>
      <c r="B188" s="21"/>
      <c r="C188" s="26"/>
      <c r="D188" s="26"/>
      <c r="E188" s="26"/>
      <c r="F188" s="26"/>
      <c r="G188" s="26"/>
      <c r="H188" s="26"/>
      <c r="I188" s="26"/>
      <c r="J188" s="26"/>
      <c r="K188" s="26"/>
      <c r="L188" s="21"/>
      <c r="M188" s="21"/>
    </row>
    <row r="189" spans="1:13" x14ac:dyDescent="0.35">
      <c r="A189" s="21"/>
      <c r="B189" s="21"/>
      <c r="C189" s="26"/>
      <c r="D189" s="26"/>
      <c r="E189" s="26"/>
      <c r="F189" s="26"/>
      <c r="G189" s="26"/>
      <c r="H189" s="26"/>
      <c r="I189" s="26"/>
      <c r="J189" s="26"/>
      <c r="K189" s="26"/>
      <c r="L189" s="21"/>
      <c r="M189" s="21"/>
    </row>
    <row r="190" spans="1:13" x14ac:dyDescent="0.35">
      <c r="A190" s="21"/>
      <c r="B190" s="21"/>
      <c r="C190" s="26"/>
      <c r="D190" s="26"/>
      <c r="E190" s="26"/>
      <c r="F190" s="26"/>
      <c r="G190" s="26"/>
      <c r="H190" s="26"/>
      <c r="I190" s="26"/>
      <c r="J190" s="26"/>
      <c r="K190" s="26"/>
      <c r="L190" s="21"/>
      <c r="M190" s="21"/>
    </row>
    <row r="191" spans="1:13" x14ac:dyDescent="0.35">
      <c r="A191" s="21"/>
      <c r="B191" s="21"/>
      <c r="C191" s="26"/>
      <c r="D191" s="26"/>
      <c r="E191" s="26"/>
      <c r="F191" s="26"/>
      <c r="G191" s="26"/>
      <c r="H191" s="26"/>
      <c r="I191" s="26"/>
      <c r="J191" s="26"/>
      <c r="K191" s="26"/>
      <c r="L191" s="21"/>
      <c r="M191" s="21"/>
    </row>
    <row r="192" spans="1:13" x14ac:dyDescent="0.35">
      <c r="A192" s="21"/>
      <c r="B192" s="21"/>
      <c r="C192" s="26"/>
      <c r="D192" s="26"/>
      <c r="E192" s="26"/>
      <c r="F192" s="26"/>
      <c r="G192" s="26"/>
      <c r="H192" s="26"/>
      <c r="I192" s="26"/>
      <c r="J192" s="26"/>
      <c r="K192" s="26"/>
      <c r="L192" s="21"/>
      <c r="M192" s="21"/>
    </row>
    <row r="193" spans="1:13" x14ac:dyDescent="0.35">
      <c r="A193" s="21"/>
      <c r="B193" s="21"/>
      <c r="C193" s="26"/>
      <c r="D193" s="26"/>
      <c r="E193" s="26"/>
      <c r="F193" s="26"/>
      <c r="G193" s="26"/>
      <c r="H193" s="26"/>
      <c r="I193" s="26"/>
      <c r="J193" s="26"/>
      <c r="K193" s="26"/>
      <c r="L193" s="21"/>
      <c r="M193" s="21"/>
    </row>
    <row r="194" spans="1:13" x14ac:dyDescent="0.35">
      <c r="A194" s="21"/>
      <c r="B194" s="21"/>
      <c r="C194" s="26"/>
      <c r="D194" s="26"/>
      <c r="E194" s="26"/>
      <c r="F194" s="26"/>
      <c r="G194" s="26"/>
      <c r="H194" s="26"/>
      <c r="I194" s="26"/>
      <c r="J194" s="26"/>
      <c r="K194" s="26"/>
      <c r="L194" s="21"/>
      <c r="M194" s="21"/>
    </row>
    <row r="195" spans="1:13" x14ac:dyDescent="0.35">
      <c r="A195" s="21"/>
      <c r="B195" s="21"/>
      <c r="C195" s="26"/>
      <c r="D195" s="26"/>
      <c r="E195" s="26"/>
      <c r="F195" s="26"/>
      <c r="G195" s="26"/>
      <c r="H195" s="26"/>
      <c r="I195" s="26"/>
      <c r="J195" s="26"/>
      <c r="K195" s="26"/>
      <c r="L195" s="21"/>
      <c r="M195" s="21"/>
    </row>
    <row r="196" spans="1:13" x14ac:dyDescent="0.35">
      <c r="A196" s="21"/>
      <c r="B196" s="21"/>
      <c r="C196" s="26"/>
      <c r="D196" s="26"/>
      <c r="E196" s="26"/>
      <c r="F196" s="26"/>
      <c r="G196" s="26"/>
      <c r="H196" s="26"/>
      <c r="I196" s="26"/>
      <c r="J196" s="26"/>
      <c r="K196" s="26"/>
      <c r="L196" s="21"/>
      <c r="M196" s="21"/>
    </row>
    <row r="197" spans="1:13" x14ac:dyDescent="0.35">
      <c r="A197" s="21"/>
      <c r="B197" s="21"/>
      <c r="C197" s="26"/>
      <c r="D197" s="26"/>
      <c r="E197" s="26"/>
      <c r="F197" s="26"/>
      <c r="G197" s="26"/>
      <c r="H197" s="27"/>
      <c r="I197" s="26"/>
      <c r="J197" s="26"/>
      <c r="K197" s="26"/>
      <c r="L197" s="21"/>
      <c r="M197" s="21"/>
    </row>
    <row r="198" spans="1:13" x14ac:dyDescent="0.35">
      <c r="A198" s="21"/>
      <c r="B198" s="21"/>
      <c r="C198" s="26"/>
      <c r="D198" s="26"/>
      <c r="E198" s="26"/>
      <c r="F198" s="26"/>
      <c r="G198" s="26"/>
      <c r="H198" s="27"/>
      <c r="I198" s="26"/>
      <c r="J198" s="26"/>
      <c r="K198" s="26"/>
      <c r="L198" s="21"/>
      <c r="M198" s="21"/>
    </row>
    <row r="199" spans="1:13" x14ac:dyDescent="0.35">
      <c r="A199" s="21"/>
      <c r="B199" s="21"/>
      <c r="C199" s="26"/>
      <c r="D199" s="26"/>
      <c r="E199" s="26"/>
      <c r="F199" s="26"/>
      <c r="G199" s="26"/>
      <c r="H199" s="27"/>
      <c r="I199" s="26"/>
      <c r="J199" s="26"/>
      <c r="K199" s="26"/>
      <c r="L199" s="21"/>
      <c r="M199" s="21"/>
    </row>
    <row r="200" spans="1:13" x14ac:dyDescent="0.35">
      <c r="A200" s="21"/>
      <c r="B200" s="21"/>
      <c r="C200" s="26"/>
      <c r="D200" s="26"/>
      <c r="E200" s="26"/>
      <c r="F200" s="26"/>
      <c r="G200" s="26"/>
      <c r="H200" s="27"/>
      <c r="I200" s="26"/>
      <c r="J200" s="26"/>
      <c r="K200" s="26"/>
      <c r="L200" s="21"/>
      <c r="M200" s="21"/>
    </row>
    <row r="201" spans="1:13" x14ac:dyDescent="0.35">
      <c r="A201" s="21"/>
      <c r="B201" s="21"/>
      <c r="C201" s="26"/>
      <c r="D201" s="26"/>
      <c r="E201" s="26"/>
      <c r="F201" s="26"/>
      <c r="G201" s="26"/>
      <c r="H201" s="27"/>
      <c r="I201" s="26"/>
      <c r="J201" s="26"/>
      <c r="K201" s="26"/>
      <c r="L201" s="21"/>
      <c r="M201" s="21"/>
    </row>
    <row r="202" spans="1:13" x14ac:dyDescent="0.35">
      <c r="A202" s="21"/>
      <c r="B202" s="21"/>
      <c r="C202" s="26"/>
      <c r="D202" s="26"/>
      <c r="E202" s="26"/>
      <c r="F202" s="26"/>
      <c r="G202" s="26"/>
      <c r="H202" s="27"/>
      <c r="I202" s="26"/>
      <c r="J202" s="26"/>
      <c r="K202" s="26"/>
      <c r="L202" s="21"/>
      <c r="M202" s="21"/>
    </row>
    <row r="203" spans="1:13" x14ac:dyDescent="0.35">
      <c r="A203" s="21"/>
      <c r="B203" s="21"/>
      <c r="C203" s="26"/>
      <c r="D203" s="26"/>
      <c r="E203" s="26"/>
      <c r="F203" s="26"/>
      <c r="G203" s="26"/>
      <c r="H203" s="27"/>
      <c r="I203" s="26"/>
      <c r="J203" s="26"/>
      <c r="K203" s="26"/>
      <c r="L203" s="21"/>
      <c r="M203" s="21"/>
    </row>
    <row r="204" spans="1:13" x14ac:dyDescent="0.35">
      <c r="A204" s="21"/>
      <c r="B204" s="21"/>
      <c r="C204" s="26"/>
      <c r="D204" s="26"/>
      <c r="E204" s="26"/>
      <c r="F204" s="26"/>
      <c r="G204" s="26"/>
      <c r="H204" s="27"/>
      <c r="I204" s="26"/>
      <c r="J204" s="26"/>
      <c r="K204" s="26"/>
      <c r="L204" s="21"/>
      <c r="M204" s="21"/>
    </row>
    <row r="205" spans="1:13" x14ac:dyDescent="0.35">
      <c r="A205" s="21"/>
      <c r="B205" s="21"/>
      <c r="C205" s="26"/>
      <c r="D205" s="26"/>
      <c r="E205" s="26"/>
      <c r="F205" s="26"/>
      <c r="G205" s="26"/>
      <c r="H205" s="27"/>
      <c r="I205" s="26"/>
      <c r="J205" s="26"/>
      <c r="K205" s="26"/>
      <c r="L205" s="21"/>
      <c r="M205" s="21"/>
    </row>
    <row r="206" spans="1:13" x14ac:dyDescent="0.35">
      <c r="A206" s="21"/>
      <c r="B206" s="21"/>
      <c r="C206" s="26"/>
      <c r="D206" s="26"/>
      <c r="E206" s="26"/>
      <c r="F206" s="26"/>
      <c r="G206" s="26"/>
      <c r="H206" s="27"/>
      <c r="I206" s="26"/>
      <c r="J206" s="26"/>
      <c r="K206" s="26"/>
      <c r="L206" s="21"/>
      <c r="M206" s="21"/>
    </row>
    <row r="207" spans="1:13" x14ac:dyDescent="0.35">
      <c r="A207" s="21"/>
      <c r="B207" s="21"/>
      <c r="C207" s="26"/>
      <c r="D207" s="26"/>
      <c r="E207" s="26"/>
      <c r="F207" s="26"/>
      <c r="G207" s="26"/>
      <c r="H207" s="27"/>
      <c r="I207" s="26"/>
      <c r="J207" s="26"/>
      <c r="K207" s="26"/>
      <c r="L207" s="21"/>
      <c r="M207" s="21"/>
    </row>
    <row r="208" spans="1:13" x14ac:dyDescent="0.35">
      <c r="A208" s="21"/>
      <c r="B208" s="21"/>
      <c r="C208" s="26"/>
      <c r="D208" s="26"/>
      <c r="E208" s="26"/>
      <c r="F208" s="26"/>
      <c r="G208" s="26"/>
      <c r="H208" s="27"/>
      <c r="I208" s="26"/>
      <c r="J208" s="26"/>
      <c r="K208" s="26"/>
      <c r="L208" s="21"/>
      <c r="M208" s="21"/>
    </row>
    <row r="209" spans="1:13" x14ac:dyDescent="0.35">
      <c r="A209" s="21"/>
      <c r="B209" s="21"/>
      <c r="C209" s="26"/>
      <c r="D209" s="26"/>
      <c r="E209" s="26"/>
      <c r="F209" s="26"/>
      <c r="G209" s="26"/>
      <c r="H209" s="27"/>
      <c r="I209" s="26"/>
      <c r="J209" s="26"/>
      <c r="K209" s="26"/>
      <c r="L209" s="21"/>
      <c r="M209" s="21"/>
    </row>
    <row r="210" spans="1:13" x14ac:dyDescent="0.35">
      <c r="A210" s="21"/>
      <c r="B210" s="21"/>
      <c r="C210" s="26"/>
      <c r="D210" s="26"/>
      <c r="E210" s="26"/>
      <c r="F210" s="26"/>
      <c r="G210" s="26"/>
      <c r="H210" s="27"/>
      <c r="I210" s="26"/>
      <c r="J210" s="26"/>
      <c r="K210" s="26"/>
      <c r="L210" s="21"/>
      <c r="M210" s="21"/>
    </row>
    <row r="211" spans="1:13" x14ac:dyDescent="0.35">
      <c r="A211" s="21"/>
      <c r="B211" s="21"/>
      <c r="C211" s="26"/>
      <c r="D211" s="26"/>
      <c r="E211" s="26"/>
      <c r="F211" s="26"/>
      <c r="G211" s="26"/>
      <c r="H211" s="27"/>
      <c r="I211" s="26"/>
      <c r="J211" s="26"/>
      <c r="K211" s="26"/>
      <c r="L211" s="21"/>
      <c r="M211" s="21"/>
    </row>
    <row r="212" spans="1:13" x14ac:dyDescent="0.35">
      <c r="A212" s="21"/>
      <c r="B212" s="21"/>
      <c r="C212" s="26"/>
      <c r="D212" s="26"/>
      <c r="E212" s="26"/>
      <c r="F212" s="26"/>
      <c r="G212" s="26"/>
      <c r="H212" s="27"/>
      <c r="I212" s="26"/>
      <c r="J212" s="26"/>
      <c r="K212" s="26"/>
      <c r="L212" s="21"/>
      <c r="M212" s="21"/>
    </row>
    <row r="213" spans="1:13" x14ac:dyDescent="0.35">
      <c r="A213" s="21"/>
      <c r="B213" s="21"/>
      <c r="C213" s="26"/>
      <c r="D213" s="26"/>
      <c r="E213" s="26"/>
      <c r="F213" s="26"/>
      <c r="G213" s="26"/>
      <c r="H213" s="27"/>
      <c r="I213" s="26"/>
      <c r="J213" s="26"/>
      <c r="K213" s="26"/>
      <c r="L213" s="21"/>
      <c r="M213" s="21"/>
    </row>
    <row r="214" spans="1:13" x14ac:dyDescent="0.35">
      <c r="A214" s="21"/>
      <c r="B214" s="21"/>
      <c r="C214" s="26"/>
      <c r="D214" s="26"/>
      <c r="E214" s="26"/>
      <c r="F214" s="26"/>
      <c r="G214" s="26"/>
      <c r="H214" s="27"/>
      <c r="I214" s="26"/>
      <c r="J214" s="26"/>
      <c r="K214" s="26"/>
      <c r="L214" s="21"/>
      <c r="M214" s="21"/>
    </row>
    <row r="215" spans="1:13" x14ac:dyDescent="0.35">
      <c r="A215" s="21"/>
      <c r="B215" s="21"/>
      <c r="C215" s="26"/>
      <c r="D215" s="26"/>
      <c r="E215" s="26"/>
      <c r="F215" s="26"/>
      <c r="G215" s="26"/>
      <c r="H215" s="27"/>
      <c r="I215" s="26"/>
      <c r="J215" s="26"/>
      <c r="K215" s="26"/>
      <c r="L215" s="21"/>
      <c r="M215" s="21"/>
    </row>
    <row r="216" spans="1:13" x14ac:dyDescent="0.35">
      <c r="A216" s="21"/>
      <c r="B216" s="21"/>
      <c r="C216" s="26"/>
      <c r="D216" s="26"/>
      <c r="E216" s="26"/>
      <c r="F216" s="26"/>
      <c r="G216" s="26"/>
      <c r="H216" s="27"/>
      <c r="I216" s="26"/>
      <c r="J216" s="26"/>
      <c r="K216" s="26"/>
      <c r="L216" s="21"/>
      <c r="M216" s="21"/>
    </row>
    <row r="217" spans="1:13" x14ac:dyDescent="0.35">
      <c r="A217" s="21"/>
      <c r="B217" s="21"/>
      <c r="C217" s="26"/>
      <c r="D217" s="26"/>
      <c r="E217" s="26"/>
      <c r="F217" s="26"/>
      <c r="G217" s="26"/>
      <c r="H217" s="27"/>
      <c r="I217" s="26"/>
      <c r="J217" s="26"/>
      <c r="K217" s="26"/>
      <c r="L217" s="21"/>
      <c r="M217" s="21"/>
    </row>
    <row r="218" spans="1:13" x14ac:dyDescent="0.35">
      <c r="A218" s="21"/>
      <c r="B218" s="21"/>
      <c r="C218" s="26"/>
      <c r="D218" s="26"/>
      <c r="E218" s="26"/>
      <c r="F218" s="26"/>
      <c r="G218" s="26"/>
      <c r="H218" s="27"/>
      <c r="I218" s="26"/>
      <c r="J218" s="26"/>
      <c r="K218" s="26"/>
      <c r="L218" s="21"/>
      <c r="M218" s="21"/>
    </row>
    <row r="219" spans="1:13" x14ac:dyDescent="0.35">
      <c r="A219" s="21"/>
      <c r="B219" s="21"/>
      <c r="C219" s="26"/>
      <c r="D219" s="26"/>
      <c r="E219" s="26"/>
      <c r="F219" s="26"/>
      <c r="G219" s="26"/>
      <c r="H219" s="27"/>
      <c r="I219" s="26"/>
      <c r="J219" s="26"/>
      <c r="K219" s="26"/>
      <c r="L219" s="21"/>
      <c r="M219" s="21"/>
    </row>
    <row r="220" spans="1:13" x14ac:dyDescent="0.35">
      <c r="A220" s="21"/>
      <c r="B220" s="21"/>
      <c r="C220" s="26"/>
      <c r="D220" s="26"/>
      <c r="E220" s="26"/>
      <c r="F220" s="26"/>
      <c r="G220" s="26"/>
      <c r="H220" s="27"/>
      <c r="I220" s="26"/>
      <c r="J220" s="26"/>
      <c r="K220" s="26"/>
      <c r="L220" s="21"/>
      <c r="M220" s="21"/>
    </row>
    <row r="221" spans="1:13" x14ac:dyDescent="0.35">
      <c r="A221" s="21"/>
      <c r="B221" s="21"/>
      <c r="C221" s="26"/>
      <c r="D221" s="26"/>
      <c r="E221" s="26"/>
      <c r="F221" s="26"/>
      <c r="G221" s="26"/>
      <c r="H221" s="27"/>
      <c r="I221" s="26"/>
      <c r="J221" s="26"/>
      <c r="K221" s="26"/>
      <c r="L221" s="21"/>
      <c r="M221" s="21"/>
    </row>
    <row r="222" spans="1:13" x14ac:dyDescent="0.35">
      <c r="A222" s="21"/>
      <c r="B222" s="21"/>
      <c r="C222" s="26"/>
      <c r="D222" s="26"/>
      <c r="E222" s="26"/>
      <c r="F222" s="26"/>
      <c r="G222" s="26"/>
      <c r="H222" s="26"/>
      <c r="I222" s="26"/>
      <c r="J222" s="26"/>
      <c r="K222" s="26"/>
      <c r="L222" s="21"/>
      <c r="M222" s="21"/>
    </row>
    <row r="223" spans="1:13" x14ac:dyDescent="0.35">
      <c r="A223" s="21"/>
      <c r="B223" s="21"/>
      <c r="C223" s="26"/>
      <c r="D223" s="26"/>
      <c r="E223" s="26"/>
      <c r="F223" s="26"/>
      <c r="G223" s="26"/>
      <c r="H223" s="26"/>
      <c r="I223" s="26"/>
      <c r="J223" s="26"/>
      <c r="K223" s="26"/>
      <c r="L223" s="21"/>
      <c r="M223" s="21"/>
    </row>
    <row r="224" spans="1:13" x14ac:dyDescent="0.35">
      <c r="A224" s="21"/>
      <c r="B224" s="21"/>
      <c r="C224" s="26"/>
      <c r="D224" s="26"/>
      <c r="E224" s="26"/>
      <c r="F224" s="26"/>
      <c r="G224" s="26"/>
      <c r="H224" s="26"/>
      <c r="I224" s="26"/>
      <c r="J224" s="26"/>
      <c r="K224" s="26"/>
      <c r="L224" s="21"/>
      <c r="M224" s="21"/>
    </row>
    <row r="225" spans="1:13" x14ac:dyDescent="0.35">
      <c r="A225" s="21"/>
      <c r="B225" s="21"/>
      <c r="C225" s="26"/>
      <c r="D225" s="26"/>
      <c r="E225" s="26"/>
      <c r="F225" s="26"/>
      <c r="G225" s="26"/>
      <c r="H225" s="26"/>
      <c r="I225" s="26"/>
      <c r="J225" s="26"/>
      <c r="K225" s="26"/>
      <c r="L225" s="21"/>
      <c r="M225" s="21"/>
    </row>
    <row r="226" spans="1:13" x14ac:dyDescent="0.35">
      <c r="A226" s="21"/>
      <c r="B226" s="21"/>
      <c r="C226" s="26"/>
      <c r="D226" s="26"/>
      <c r="E226" s="26"/>
      <c r="F226" s="26"/>
      <c r="G226" s="26"/>
      <c r="H226" s="26"/>
      <c r="I226" s="26"/>
      <c r="J226" s="26"/>
      <c r="K226" s="26"/>
      <c r="L226" s="21"/>
      <c r="M226" s="21"/>
    </row>
    <row r="227" spans="1:13" x14ac:dyDescent="0.35">
      <c r="A227" s="21"/>
      <c r="B227" s="21"/>
      <c r="C227" s="26"/>
      <c r="D227" s="26"/>
      <c r="E227" s="26"/>
      <c r="F227" s="26"/>
      <c r="G227" s="26"/>
      <c r="H227" s="26"/>
      <c r="I227" s="26"/>
      <c r="J227" s="26"/>
      <c r="K227" s="26"/>
      <c r="L227" s="21"/>
      <c r="M227" s="21"/>
    </row>
    <row r="228" spans="1:13" x14ac:dyDescent="0.35">
      <c r="A228" s="21"/>
      <c r="B228" s="21"/>
      <c r="C228" s="26"/>
      <c r="D228" s="26"/>
      <c r="E228" s="26"/>
      <c r="F228" s="26"/>
      <c r="G228" s="26"/>
      <c r="H228" s="26"/>
      <c r="I228" s="26"/>
      <c r="J228" s="26"/>
      <c r="K228" s="26"/>
      <c r="L228" s="21"/>
      <c r="M228" s="21"/>
    </row>
    <row r="229" spans="1:13" x14ac:dyDescent="0.35">
      <c r="A229" s="21"/>
      <c r="B229" s="21"/>
      <c r="C229" s="26"/>
      <c r="D229" s="26"/>
      <c r="E229" s="26"/>
      <c r="F229" s="26"/>
      <c r="G229" s="26"/>
      <c r="H229" s="26"/>
      <c r="I229" s="26"/>
      <c r="J229" s="26"/>
      <c r="K229" s="26"/>
      <c r="L229" s="21"/>
      <c r="M229" s="21"/>
    </row>
    <row r="230" spans="1:13" x14ac:dyDescent="0.35">
      <c r="A230" s="21"/>
      <c r="B230" s="21"/>
      <c r="C230" s="26"/>
      <c r="D230" s="26"/>
      <c r="E230" s="26"/>
      <c r="F230" s="26"/>
      <c r="G230" s="26"/>
      <c r="H230" s="26"/>
      <c r="I230" s="26"/>
      <c r="J230" s="26"/>
      <c r="K230" s="26"/>
      <c r="L230" s="21"/>
      <c r="M230" s="21"/>
    </row>
    <row r="231" spans="1:13" x14ac:dyDescent="0.35">
      <c r="A231" s="21"/>
      <c r="B231" s="21"/>
      <c r="C231" s="26"/>
      <c r="D231" s="26"/>
      <c r="E231" s="26"/>
      <c r="F231" s="26"/>
      <c r="G231" s="26"/>
      <c r="H231" s="26"/>
      <c r="I231" s="26"/>
      <c r="J231" s="26"/>
      <c r="K231" s="26"/>
      <c r="L231" s="21"/>
      <c r="M231" s="21"/>
    </row>
    <row r="232" spans="1:13" x14ac:dyDescent="0.35">
      <c r="A232" s="21"/>
      <c r="B232" s="21"/>
      <c r="C232" s="26"/>
      <c r="D232" s="26"/>
      <c r="E232" s="26"/>
      <c r="F232" s="26"/>
      <c r="G232" s="26"/>
      <c r="H232" s="26"/>
      <c r="I232" s="26"/>
      <c r="J232" s="26"/>
      <c r="K232" s="26"/>
      <c r="L232" s="21"/>
      <c r="M232" s="21"/>
    </row>
    <row r="233" spans="1:13" x14ac:dyDescent="0.35">
      <c r="A233" s="21"/>
      <c r="B233" s="21"/>
      <c r="C233" s="26"/>
      <c r="D233" s="26"/>
      <c r="E233" s="26"/>
      <c r="F233" s="26"/>
      <c r="G233" s="26"/>
      <c r="H233" s="26"/>
      <c r="I233" s="26"/>
      <c r="J233" s="26"/>
      <c r="K233" s="26"/>
      <c r="L233" s="21"/>
      <c r="M233" s="21"/>
    </row>
    <row r="234" spans="1:13" x14ac:dyDescent="0.35">
      <c r="A234" s="21"/>
      <c r="B234" s="21"/>
      <c r="C234" s="26"/>
      <c r="D234" s="26"/>
      <c r="E234" s="26"/>
      <c r="F234" s="26"/>
      <c r="G234" s="26"/>
      <c r="H234" s="26"/>
      <c r="I234" s="26"/>
      <c r="J234" s="26"/>
      <c r="K234" s="26"/>
      <c r="L234" s="21"/>
      <c r="M234" s="21"/>
    </row>
    <row r="235" spans="1:13" x14ac:dyDescent="0.35">
      <c r="A235" s="21"/>
      <c r="B235" s="21"/>
      <c r="C235" s="26"/>
      <c r="D235" s="26"/>
      <c r="E235" s="26"/>
      <c r="F235" s="26"/>
      <c r="G235" s="26"/>
      <c r="H235" s="26"/>
      <c r="I235" s="26"/>
      <c r="J235" s="26"/>
      <c r="K235" s="26"/>
      <c r="L235" s="21"/>
      <c r="M235" s="21"/>
    </row>
    <row r="236" spans="1:13" x14ac:dyDescent="0.35">
      <c r="A236" s="21"/>
      <c r="B236" s="21"/>
      <c r="C236" s="26"/>
      <c r="D236" s="26"/>
      <c r="E236" s="26"/>
      <c r="F236" s="26"/>
      <c r="G236" s="26"/>
      <c r="H236" s="26"/>
      <c r="I236" s="26"/>
      <c r="J236" s="26"/>
      <c r="K236" s="26"/>
      <c r="L236" s="21"/>
      <c r="M236" s="21"/>
    </row>
    <row r="237" spans="1:13" x14ac:dyDescent="0.35">
      <c r="A237" s="21"/>
      <c r="B237" s="21"/>
      <c r="C237" s="26"/>
      <c r="D237" s="26"/>
      <c r="E237" s="26"/>
      <c r="F237" s="26"/>
      <c r="G237" s="26"/>
      <c r="H237" s="26"/>
      <c r="I237" s="26"/>
      <c r="J237" s="26"/>
      <c r="K237" s="26"/>
      <c r="L237" s="21"/>
      <c r="M237" s="21"/>
    </row>
    <row r="238" spans="1:13" x14ac:dyDescent="0.35">
      <c r="A238" s="21"/>
      <c r="B238" s="21"/>
      <c r="C238" s="26"/>
      <c r="D238" s="26"/>
      <c r="E238" s="26"/>
      <c r="F238" s="26"/>
      <c r="G238" s="26"/>
      <c r="H238" s="26"/>
      <c r="I238" s="26"/>
      <c r="J238" s="26"/>
      <c r="K238" s="26"/>
      <c r="L238" s="21"/>
      <c r="M238" s="21"/>
    </row>
    <row r="239" spans="1:13" x14ac:dyDescent="0.35">
      <c r="A239" s="21"/>
      <c r="B239" s="21"/>
      <c r="C239" s="26"/>
      <c r="D239" s="26"/>
      <c r="E239" s="26"/>
      <c r="F239" s="26"/>
      <c r="G239" s="26"/>
      <c r="H239" s="26"/>
      <c r="I239" s="26"/>
      <c r="J239" s="26"/>
      <c r="K239" s="26"/>
      <c r="L239" s="21"/>
      <c r="M239" s="21"/>
    </row>
    <row r="240" spans="1:13" x14ac:dyDescent="0.35">
      <c r="A240" s="21"/>
      <c r="B240" s="21"/>
      <c r="C240" s="28"/>
      <c r="D240" s="28"/>
      <c r="E240" s="28"/>
      <c r="F240" s="28"/>
      <c r="G240" s="28"/>
      <c r="H240" s="28"/>
      <c r="I240" s="28"/>
      <c r="J240" s="28"/>
      <c r="K240" s="28"/>
      <c r="L240" s="21"/>
      <c r="M240" s="21"/>
    </row>
    <row r="241" spans="1:13" x14ac:dyDescent="0.35">
      <c r="A241" s="21"/>
      <c r="B241" s="21"/>
      <c r="C241" s="28"/>
      <c r="D241" s="28"/>
      <c r="E241" s="28"/>
      <c r="F241" s="28"/>
      <c r="G241" s="28"/>
      <c r="H241" s="28"/>
      <c r="I241" s="28"/>
      <c r="J241" s="28"/>
      <c r="K241" s="28"/>
      <c r="L241" s="21"/>
      <c r="M241" s="21"/>
    </row>
    <row r="242" spans="1:13" x14ac:dyDescent="0.35">
      <c r="A242" s="21"/>
      <c r="B242" s="21"/>
      <c r="C242" s="28"/>
      <c r="D242" s="28"/>
      <c r="E242" s="28"/>
      <c r="F242" s="28"/>
      <c r="G242" s="28"/>
      <c r="H242" s="28"/>
      <c r="I242" s="28"/>
      <c r="J242" s="28"/>
      <c r="K242" s="28"/>
      <c r="L242" s="21"/>
      <c r="M242" s="21"/>
    </row>
    <row r="243" spans="1:13" x14ac:dyDescent="0.35">
      <c r="A243" s="21"/>
      <c r="B243" s="21"/>
      <c r="C243" s="28"/>
      <c r="D243" s="28"/>
      <c r="E243" s="28"/>
      <c r="F243" s="28"/>
      <c r="G243" s="28"/>
      <c r="H243" s="28"/>
      <c r="I243" s="28"/>
      <c r="J243" s="28"/>
      <c r="K243" s="28"/>
      <c r="L243" s="21"/>
      <c r="M243" s="21"/>
    </row>
    <row r="244" spans="1:13" x14ac:dyDescent="0.35">
      <c r="A244" s="21"/>
      <c r="B244" s="21"/>
      <c r="C244" s="28"/>
      <c r="D244" s="28"/>
      <c r="E244" s="28"/>
      <c r="F244" s="28"/>
      <c r="G244" s="28"/>
      <c r="H244" s="28"/>
      <c r="I244" s="28"/>
      <c r="J244" s="28"/>
      <c r="K244" s="28"/>
      <c r="L244" s="21"/>
      <c r="M244" s="21"/>
    </row>
    <row r="245" spans="1:13" x14ac:dyDescent="0.35">
      <c r="A245" s="21"/>
      <c r="B245" s="21"/>
      <c r="C245" s="28"/>
      <c r="D245" s="28"/>
      <c r="E245" s="28"/>
      <c r="F245" s="28"/>
      <c r="G245" s="28"/>
      <c r="H245" s="28"/>
      <c r="I245" s="28"/>
      <c r="J245" s="28"/>
      <c r="K245" s="28"/>
      <c r="L245" s="21"/>
      <c r="M245" s="21"/>
    </row>
    <row r="246" spans="1:13" x14ac:dyDescent="0.35">
      <c r="A246" s="21"/>
      <c r="B246" s="21"/>
      <c r="C246" s="28"/>
      <c r="D246" s="28"/>
      <c r="E246" s="28"/>
      <c r="F246" s="28"/>
      <c r="G246" s="28"/>
      <c r="H246" s="28"/>
      <c r="I246" s="28"/>
      <c r="J246" s="28"/>
      <c r="K246" s="28"/>
      <c r="L246" s="21"/>
      <c r="M246" s="21"/>
    </row>
    <row r="247" spans="1:13" x14ac:dyDescent="0.35">
      <c r="A247" s="21"/>
      <c r="B247" s="21"/>
      <c r="C247" s="28"/>
      <c r="D247" s="28"/>
      <c r="E247" s="28"/>
      <c r="F247" s="28"/>
      <c r="G247" s="28"/>
      <c r="H247" s="28"/>
      <c r="I247" s="28"/>
      <c r="J247" s="28"/>
      <c r="K247" s="28"/>
      <c r="L247" s="21"/>
      <c r="M247" s="21"/>
    </row>
    <row r="248" spans="1:13" x14ac:dyDescent="0.35">
      <c r="A248" s="21"/>
      <c r="B248" s="21"/>
      <c r="C248" s="28"/>
      <c r="D248" s="28"/>
      <c r="E248" s="28"/>
      <c r="F248" s="28"/>
      <c r="G248" s="28"/>
      <c r="H248" s="28"/>
      <c r="I248" s="28"/>
      <c r="J248" s="28"/>
      <c r="K248" s="28"/>
      <c r="L248" s="21"/>
      <c r="M248" s="21"/>
    </row>
    <row r="249" spans="1:13" x14ac:dyDescent="0.35">
      <c r="A249" s="21"/>
      <c r="B249" s="21"/>
      <c r="C249" s="28"/>
      <c r="D249" s="28"/>
      <c r="E249" s="28"/>
      <c r="F249" s="28"/>
      <c r="G249" s="28"/>
      <c r="H249" s="28"/>
      <c r="I249" s="28"/>
      <c r="J249" s="28"/>
      <c r="K249" s="28"/>
      <c r="L249" s="21"/>
      <c r="M249" s="21"/>
    </row>
    <row r="250" spans="1:13" x14ac:dyDescent="0.35">
      <c r="A250" s="21"/>
      <c r="B250" s="21"/>
      <c r="C250" s="28"/>
      <c r="D250" s="28"/>
      <c r="E250" s="28"/>
      <c r="F250" s="28"/>
      <c r="G250" s="28"/>
      <c r="H250" s="28"/>
      <c r="I250" s="28"/>
      <c r="J250" s="28"/>
      <c r="K250" s="28"/>
      <c r="L250" s="21"/>
      <c r="M250" s="21"/>
    </row>
    <row r="251" spans="1:13" x14ac:dyDescent="0.35">
      <c r="A251" s="21"/>
      <c r="B251" s="21"/>
      <c r="C251" s="28"/>
      <c r="D251" s="28"/>
      <c r="E251" s="28"/>
      <c r="F251" s="28"/>
      <c r="G251" s="28"/>
      <c r="H251" s="28"/>
      <c r="I251" s="28"/>
      <c r="J251" s="28"/>
      <c r="K251" s="28"/>
      <c r="L251" s="21"/>
      <c r="M251" s="21"/>
    </row>
    <row r="252" spans="1:13" x14ac:dyDescent="0.35">
      <c r="A252" s="21"/>
      <c r="B252" s="21"/>
      <c r="C252" s="28"/>
      <c r="D252" s="28"/>
      <c r="E252" s="28"/>
      <c r="F252" s="28"/>
      <c r="G252" s="28"/>
      <c r="H252" s="28"/>
      <c r="I252" s="28"/>
      <c r="J252" s="28"/>
      <c r="K252" s="28"/>
      <c r="L252" s="21"/>
      <c r="M252" s="21"/>
    </row>
    <row r="253" spans="1:13" x14ac:dyDescent="0.35">
      <c r="A253" s="21"/>
      <c r="B253" s="21"/>
      <c r="C253" s="28"/>
      <c r="D253" s="28"/>
      <c r="E253" s="28"/>
      <c r="F253" s="28"/>
      <c r="G253" s="28"/>
      <c r="H253" s="28"/>
      <c r="I253" s="28"/>
      <c r="J253" s="28"/>
      <c r="K253" s="28"/>
      <c r="L253" s="21"/>
      <c r="M253" s="21"/>
    </row>
    <row r="254" spans="1:13" x14ac:dyDescent="0.35">
      <c r="A254" s="21"/>
      <c r="B254" s="21"/>
      <c r="C254" s="28"/>
      <c r="D254" s="28"/>
      <c r="E254" s="28"/>
      <c r="F254" s="28"/>
      <c r="G254" s="28"/>
      <c r="H254" s="28"/>
      <c r="I254" s="28"/>
      <c r="J254" s="28"/>
      <c r="K254" s="28"/>
      <c r="L254" s="21"/>
      <c r="M254" s="21"/>
    </row>
    <row r="255" spans="1:13" x14ac:dyDescent="0.35">
      <c r="A255" s="21"/>
      <c r="B255" s="21"/>
      <c r="C255" s="28"/>
      <c r="D255" s="28"/>
      <c r="E255" s="28"/>
      <c r="F255" s="28"/>
      <c r="G255" s="28"/>
      <c r="H255" s="28"/>
      <c r="I255" s="28"/>
      <c r="J255" s="28"/>
      <c r="K255" s="28"/>
      <c r="L255" s="21"/>
      <c r="M255" s="21"/>
    </row>
    <row r="256" spans="1:13" x14ac:dyDescent="0.35">
      <c r="A256" s="21"/>
      <c r="B256" s="21"/>
      <c r="C256" s="28"/>
      <c r="D256" s="28"/>
      <c r="E256" s="28"/>
      <c r="F256" s="28"/>
      <c r="G256" s="28"/>
      <c r="H256" s="28"/>
      <c r="I256" s="28"/>
      <c r="J256" s="28"/>
      <c r="K256" s="28"/>
      <c r="L256" s="21"/>
      <c r="M256" s="21"/>
    </row>
    <row r="257" spans="1:13" x14ac:dyDescent="0.35">
      <c r="A257" s="21"/>
      <c r="B257" s="21"/>
      <c r="C257" s="28"/>
      <c r="D257" s="28"/>
      <c r="E257" s="28"/>
      <c r="F257" s="28"/>
      <c r="G257" s="28"/>
      <c r="H257" s="28"/>
      <c r="I257" s="28"/>
      <c r="J257" s="28"/>
      <c r="K257" s="28"/>
      <c r="L257" s="21"/>
      <c r="M257" s="21"/>
    </row>
    <row r="258" spans="1:13" x14ac:dyDescent="0.35">
      <c r="A258" s="21"/>
      <c r="B258" s="21"/>
      <c r="C258" s="28"/>
      <c r="D258" s="28"/>
      <c r="E258" s="28"/>
      <c r="F258" s="28"/>
      <c r="G258" s="28"/>
      <c r="H258" s="28"/>
      <c r="I258" s="28"/>
      <c r="J258" s="28"/>
      <c r="K258" s="28"/>
      <c r="L258" s="21"/>
      <c r="M258" s="21"/>
    </row>
    <row r="259" spans="1:13" x14ac:dyDescent="0.35">
      <c r="A259" s="21"/>
      <c r="B259" s="21"/>
      <c r="C259" s="28"/>
      <c r="D259" s="28"/>
      <c r="E259" s="28"/>
      <c r="F259" s="28"/>
      <c r="G259" s="28"/>
      <c r="H259" s="28"/>
      <c r="I259" s="28"/>
      <c r="J259" s="28"/>
      <c r="K259" s="28"/>
      <c r="L259" s="21"/>
      <c r="M259" s="21"/>
    </row>
    <row r="260" spans="1:13" x14ac:dyDescent="0.35">
      <c r="A260" s="21"/>
      <c r="B260" s="21"/>
      <c r="C260" s="28"/>
      <c r="D260" s="28"/>
      <c r="E260" s="28"/>
      <c r="F260" s="28"/>
      <c r="G260" s="28"/>
      <c r="H260" s="28"/>
      <c r="I260" s="28"/>
      <c r="J260" s="28"/>
      <c r="K260" s="28"/>
      <c r="L260" s="21"/>
      <c r="M260" s="21"/>
    </row>
    <row r="261" spans="1:13" x14ac:dyDescent="0.35">
      <c r="A261" s="21"/>
      <c r="B261" s="21"/>
      <c r="C261" s="28"/>
      <c r="D261" s="28"/>
      <c r="E261" s="28"/>
      <c r="F261" s="28"/>
      <c r="G261" s="28"/>
      <c r="H261" s="28"/>
      <c r="I261" s="28"/>
      <c r="J261" s="28"/>
      <c r="K261" s="28"/>
      <c r="L261" s="21"/>
      <c r="M261" s="21"/>
    </row>
    <row r="262" spans="1:13" x14ac:dyDescent="0.35">
      <c r="A262" s="21"/>
      <c r="B262" s="21"/>
      <c r="C262" s="28"/>
      <c r="D262" s="28"/>
      <c r="E262" s="28"/>
      <c r="F262" s="28"/>
      <c r="G262" s="28"/>
      <c r="H262" s="28"/>
      <c r="I262" s="28"/>
      <c r="J262" s="28"/>
      <c r="K262" s="28"/>
      <c r="L262" s="21"/>
      <c r="M262" s="21"/>
    </row>
    <row r="263" spans="1:13" x14ac:dyDescent="0.35">
      <c r="A263" s="21"/>
      <c r="B263" s="21"/>
      <c r="C263" s="28"/>
      <c r="D263" s="28"/>
      <c r="E263" s="28"/>
      <c r="F263" s="28"/>
      <c r="G263" s="28"/>
      <c r="H263" s="28"/>
      <c r="I263" s="28"/>
      <c r="J263" s="28"/>
      <c r="K263" s="28"/>
      <c r="L263" s="21"/>
      <c r="M263" s="21"/>
    </row>
    <row r="264" spans="1:13" x14ac:dyDescent="0.35">
      <c r="A264" s="21"/>
      <c r="B264" s="21"/>
      <c r="C264" s="28"/>
      <c r="D264" s="28"/>
      <c r="E264" s="28"/>
      <c r="F264" s="28"/>
      <c r="G264" s="28"/>
      <c r="H264" s="28"/>
      <c r="I264" s="28"/>
      <c r="J264" s="28"/>
      <c r="K264" s="28"/>
      <c r="L264" s="21"/>
      <c r="M264" s="21"/>
    </row>
    <row r="265" spans="1:13" x14ac:dyDescent="0.35">
      <c r="A265" s="21"/>
      <c r="B265" s="21"/>
      <c r="C265" s="28"/>
      <c r="D265" s="28"/>
      <c r="E265" s="28"/>
      <c r="F265" s="28"/>
      <c r="G265" s="28"/>
      <c r="H265" s="28"/>
      <c r="I265" s="28"/>
      <c r="J265" s="28"/>
      <c r="K265" s="28"/>
      <c r="L265" s="21"/>
      <c r="M265" s="21"/>
    </row>
    <row r="266" spans="1:13" x14ac:dyDescent="0.35">
      <c r="A266" s="21"/>
      <c r="B266" s="21"/>
      <c r="C266" s="28"/>
      <c r="D266" s="28"/>
      <c r="E266" s="28"/>
      <c r="F266" s="28"/>
      <c r="G266" s="28"/>
      <c r="H266" s="28"/>
      <c r="I266" s="28"/>
      <c r="J266" s="28"/>
      <c r="K266" s="28"/>
      <c r="L266" s="21"/>
      <c r="M266" s="21"/>
    </row>
    <row r="267" spans="1:13" x14ac:dyDescent="0.35">
      <c r="A267" s="21"/>
      <c r="B267" s="21"/>
      <c r="C267" s="28"/>
      <c r="D267" s="28"/>
      <c r="E267" s="28"/>
      <c r="F267" s="28"/>
      <c r="G267" s="28"/>
      <c r="H267" s="28"/>
      <c r="I267" s="28"/>
      <c r="J267" s="28"/>
      <c r="K267" s="28"/>
      <c r="L267" s="21"/>
      <c r="M267" s="21"/>
    </row>
    <row r="268" spans="1:13" x14ac:dyDescent="0.35">
      <c r="A268" s="21"/>
      <c r="B268" s="21"/>
      <c r="C268" s="28"/>
      <c r="D268" s="28"/>
      <c r="E268" s="28"/>
      <c r="F268" s="28"/>
      <c r="G268" s="28"/>
      <c r="H268" s="28"/>
      <c r="I268" s="28"/>
      <c r="J268" s="28"/>
      <c r="K268" s="28"/>
      <c r="L268" s="21"/>
      <c r="M268" s="21"/>
    </row>
    <row r="269" spans="1:13" x14ac:dyDescent="0.35">
      <c r="A269" s="21"/>
      <c r="B269" s="21"/>
      <c r="C269" s="28"/>
      <c r="D269" s="28"/>
      <c r="E269" s="28"/>
      <c r="F269" s="28"/>
      <c r="G269" s="28"/>
      <c r="H269" s="28"/>
      <c r="I269" s="28"/>
      <c r="J269" s="28"/>
      <c r="K269" s="28"/>
      <c r="L269" s="21"/>
      <c r="M269" s="21"/>
    </row>
    <row r="270" spans="1:13" x14ac:dyDescent="0.35">
      <c r="A270" s="21"/>
      <c r="B270" s="21"/>
      <c r="C270" s="28"/>
      <c r="D270" s="28"/>
      <c r="E270" s="28"/>
      <c r="F270" s="28"/>
      <c r="G270" s="28"/>
      <c r="H270" s="28"/>
      <c r="I270" s="28"/>
      <c r="J270" s="28"/>
      <c r="K270" s="28"/>
      <c r="L270" s="21"/>
      <c r="M270" s="21"/>
    </row>
    <row r="271" spans="1:13" x14ac:dyDescent="0.35">
      <c r="A271" s="21"/>
      <c r="B271" s="21"/>
      <c r="C271" s="28"/>
      <c r="D271" s="28"/>
      <c r="E271" s="28"/>
      <c r="F271" s="28"/>
      <c r="G271" s="28"/>
      <c r="H271" s="28"/>
      <c r="I271" s="28"/>
      <c r="J271" s="28"/>
      <c r="K271" s="28"/>
      <c r="L271" s="21"/>
      <c r="M271" s="21"/>
    </row>
    <row r="272" spans="1:13" x14ac:dyDescent="0.35">
      <c r="A272" s="21"/>
      <c r="B272" s="21"/>
      <c r="C272" s="28"/>
      <c r="D272" s="28"/>
      <c r="E272" s="28"/>
      <c r="F272" s="28"/>
      <c r="G272" s="28"/>
      <c r="H272" s="28"/>
      <c r="I272" s="28"/>
      <c r="J272" s="28"/>
      <c r="K272" s="28"/>
      <c r="L272" s="21"/>
      <c r="M272" s="21"/>
    </row>
    <row r="273" spans="1:13" x14ac:dyDescent="0.35">
      <c r="A273" s="21"/>
      <c r="B273" s="21"/>
      <c r="C273" s="28"/>
      <c r="D273" s="28"/>
      <c r="E273" s="28"/>
      <c r="F273" s="28"/>
      <c r="G273" s="28"/>
      <c r="H273" s="28"/>
      <c r="I273" s="28"/>
      <c r="J273" s="28"/>
      <c r="K273" s="28"/>
      <c r="L273" s="21"/>
      <c r="M273" s="21"/>
    </row>
    <row r="274" spans="1:13" x14ac:dyDescent="0.35">
      <c r="A274" s="21"/>
      <c r="B274" s="21"/>
      <c r="C274" s="28"/>
      <c r="D274" s="28"/>
      <c r="E274" s="28"/>
      <c r="F274" s="28"/>
      <c r="G274" s="28"/>
      <c r="H274" s="28"/>
      <c r="I274" s="28"/>
      <c r="J274" s="28"/>
      <c r="K274" s="28"/>
      <c r="L274" s="21"/>
      <c r="M274" s="21"/>
    </row>
    <row r="275" spans="1:13" x14ac:dyDescent="0.35">
      <c r="A275" s="21"/>
      <c r="B275" s="21"/>
      <c r="C275" s="28"/>
      <c r="D275" s="28"/>
      <c r="E275" s="28"/>
      <c r="F275" s="28"/>
      <c r="G275" s="28"/>
      <c r="H275" s="28"/>
      <c r="I275" s="28"/>
      <c r="J275" s="28"/>
      <c r="K275" s="28"/>
      <c r="L275" s="21"/>
      <c r="M275" s="21"/>
    </row>
    <row r="276" spans="1:13" x14ac:dyDescent="0.35">
      <c r="A276" s="21"/>
      <c r="B276" s="21"/>
      <c r="C276" s="28"/>
      <c r="D276" s="28"/>
      <c r="E276" s="28"/>
      <c r="F276" s="28"/>
      <c r="G276" s="28"/>
      <c r="H276" s="28"/>
      <c r="I276" s="28"/>
      <c r="J276" s="28"/>
      <c r="K276" s="28"/>
      <c r="L276" s="21"/>
      <c r="M276" s="21"/>
    </row>
    <row r="277" spans="1:13" x14ac:dyDescent="0.35">
      <c r="A277" s="21"/>
      <c r="B277" s="21"/>
      <c r="C277" s="28"/>
      <c r="D277" s="28"/>
      <c r="E277" s="28"/>
      <c r="F277" s="28"/>
      <c r="G277" s="28"/>
      <c r="H277" s="28"/>
      <c r="I277" s="28"/>
      <c r="J277" s="28"/>
      <c r="K277" s="28"/>
      <c r="L277" s="21"/>
      <c r="M277" s="21"/>
    </row>
    <row r="278" spans="1:13" x14ac:dyDescent="0.35">
      <c r="A278" s="21"/>
      <c r="B278" s="21"/>
      <c r="C278" s="28"/>
      <c r="D278" s="28"/>
      <c r="E278" s="28"/>
      <c r="F278" s="28"/>
      <c r="G278" s="28"/>
      <c r="H278" s="28"/>
      <c r="I278" s="28"/>
      <c r="J278" s="28"/>
      <c r="K278" s="28"/>
      <c r="L278" s="21"/>
      <c r="M278" s="21"/>
    </row>
    <row r="279" spans="1:13" x14ac:dyDescent="0.35">
      <c r="A279" s="21"/>
      <c r="B279" s="21"/>
      <c r="C279" s="28"/>
      <c r="D279" s="28"/>
      <c r="E279" s="28"/>
      <c r="F279" s="28"/>
      <c r="G279" s="28"/>
      <c r="H279" s="28"/>
      <c r="I279" s="28"/>
      <c r="J279" s="28"/>
      <c r="K279" s="28"/>
      <c r="L279" s="21"/>
      <c r="M279" s="21"/>
    </row>
    <row r="280" spans="1:13" x14ac:dyDescent="0.35">
      <c r="A280" s="21"/>
      <c r="B280" s="21"/>
      <c r="C280" s="28"/>
      <c r="D280" s="28"/>
      <c r="E280" s="28"/>
      <c r="F280" s="28"/>
      <c r="G280" s="28"/>
      <c r="H280" s="28"/>
      <c r="I280" s="28"/>
      <c r="J280" s="28"/>
      <c r="K280" s="28"/>
      <c r="L280" s="21"/>
      <c r="M280" s="21"/>
    </row>
    <row r="281" spans="1:13" x14ac:dyDescent="0.35">
      <c r="A281" s="21"/>
      <c r="B281" s="21"/>
      <c r="C281" s="28"/>
      <c r="D281" s="28"/>
      <c r="E281" s="28"/>
      <c r="F281" s="28"/>
      <c r="G281" s="28"/>
      <c r="H281" s="28"/>
      <c r="I281" s="28"/>
      <c r="J281" s="28"/>
      <c r="K281" s="28"/>
      <c r="L281" s="21"/>
      <c r="M281" s="21"/>
    </row>
    <row r="282" spans="1:13" x14ac:dyDescent="0.35">
      <c r="A282" s="21"/>
      <c r="B282" s="21"/>
      <c r="C282" s="28"/>
      <c r="D282" s="28"/>
      <c r="E282" s="28"/>
      <c r="F282" s="28"/>
      <c r="G282" s="28"/>
      <c r="H282" s="28"/>
      <c r="I282" s="28"/>
      <c r="J282" s="28"/>
      <c r="K282" s="28"/>
      <c r="L282" s="21"/>
      <c r="M282" s="21"/>
    </row>
    <row r="283" spans="1:13" x14ac:dyDescent="0.35">
      <c r="A283" s="21"/>
      <c r="B283" s="21"/>
      <c r="C283" s="28"/>
      <c r="D283" s="28"/>
      <c r="E283" s="28"/>
      <c r="F283" s="28"/>
      <c r="G283" s="28"/>
      <c r="H283" s="28"/>
      <c r="I283" s="28"/>
      <c r="J283" s="28"/>
      <c r="K283" s="28"/>
      <c r="L283" s="21"/>
      <c r="M283" s="21"/>
    </row>
    <row r="284" spans="1:13" x14ac:dyDescent="0.35">
      <c r="A284" s="21"/>
      <c r="B284" s="21"/>
      <c r="G284" s="16"/>
      <c r="L284" s="21"/>
      <c r="M284" s="21"/>
    </row>
    <row r="285" spans="1:13" x14ac:dyDescent="0.35">
      <c r="A285" s="21"/>
      <c r="B285" s="21"/>
      <c r="G285" s="16"/>
      <c r="L285" s="21"/>
      <c r="M285" s="21"/>
    </row>
    <row r="286" spans="1:13" x14ac:dyDescent="0.35">
      <c r="A286" s="21"/>
      <c r="B286" s="21"/>
      <c r="G286" s="16"/>
      <c r="L286" s="21"/>
      <c r="M286" s="21"/>
    </row>
    <row r="287" spans="1:13" x14ac:dyDescent="0.35">
      <c r="A287" s="21"/>
      <c r="B287" s="21"/>
      <c r="G287" s="16"/>
      <c r="L287" s="21"/>
      <c r="M287" s="21"/>
    </row>
    <row r="288" spans="1:13" x14ac:dyDescent="0.35">
      <c r="A288" s="21"/>
      <c r="B288" s="21"/>
      <c r="G288" s="16"/>
      <c r="L288" s="21"/>
      <c r="M288" s="21"/>
    </row>
    <row r="289" spans="1:13" x14ac:dyDescent="0.35">
      <c r="A289" s="21"/>
      <c r="B289" s="21"/>
      <c r="G289" s="16"/>
      <c r="L289" s="21"/>
      <c r="M289" s="21"/>
    </row>
    <row r="290" spans="1:13" x14ac:dyDescent="0.35">
      <c r="A290" s="21"/>
      <c r="B290" s="21"/>
      <c r="G290" s="16"/>
      <c r="L290" s="21"/>
      <c r="M290" s="21"/>
    </row>
    <row r="291" spans="1:13" x14ac:dyDescent="0.35">
      <c r="A291" s="21"/>
      <c r="B291" s="21"/>
      <c r="G291" s="16"/>
      <c r="L291" s="21"/>
      <c r="M291" s="21"/>
    </row>
    <row r="292" spans="1:13" x14ac:dyDescent="0.35">
      <c r="A292" s="21"/>
      <c r="B292" s="21"/>
      <c r="G292" s="16"/>
      <c r="L292" s="21"/>
      <c r="M292" s="21"/>
    </row>
    <row r="293" spans="1:13" x14ac:dyDescent="0.35">
      <c r="A293" s="21"/>
      <c r="B293" s="21"/>
      <c r="G293" s="16"/>
      <c r="L293" s="21"/>
      <c r="M293" s="21"/>
    </row>
    <row r="294" spans="1:13" x14ac:dyDescent="0.35">
      <c r="A294" s="21"/>
      <c r="B294" s="21"/>
      <c r="G294" s="16"/>
      <c r="L294" s="21"/>
      <c r="M294" s="21"/>
    </row>
    <row r="295" spans="1:13" x14ac:dyDescent="0.35">
      <c r="A295" s="21"/>
      <c r="B295" s="21"/>
      <c r="G295" s="16"/>
      <c r="L295" s="21"/>
      <c r="M295" s="21"/>
    </row>
    <row r="296" spans="1:13" x14ac:dyDescent="0.35">
      <c r="A296" s="21"/>
      <c r="B296" s="21"/>
      <c r="G296" s="16"/>
      <c r="L296" s="21"/>
      <c r="M296" s="21"/>
    </row>
    <row r="297" spans="1:13" x14ac:dyDescent="0.35">
      <c r="A297" s="21"/>
      <c r="B297" s="21"/>
      <c r="G297" s="16"/>
      <c r="L297" s="21"/>
      <c r="M297" s="21"/>
    </row>
    <row r="298" spans="1:13" x14ac:dyDescent="0.35">
      <c r="A298" s="21"/>
      <c r="B298" s="21"/>
      <c r="G298" s="16"/>
      <c r="L298" s="21"/>
      <c r="M298" s="21"/>
    </row>
    <row r="299" spans="1:13" x14ac:dyDescent="0.35">
      <c r="A299" s="21"/>
      <c r="B299" s="21"/>
      <c r="G299" s="16"/>
      <c r="L299" s="21"/>
      <c r="M299" s="21"/>
    </row>
    <row r="300" spans="1:13" x14ac:dyDescent="0.35">
      <c r="A300" s="21"/>
      <c r="B300" s="21"/>
      <c r="G300" s="16"/>
      <c r="L300" s="21"/>
      <c r="M300" s="21"/>
    </row>
    <row r="301" spans="1:13" x14ac:dyDescent="0.35">
      <c r="A301" s="21"/>
      <c r="B301" s="21"/>
      <c r="G301" s="16"/>
      <c r="L301" s="21"/>
      <c r="M301" s="21"/>
    </row>
    <row r="302" spans="1:13" x14ac:dyDescent="0.35">
      <c r="A302" s="21"/>
      <c r="B302" s="21"/>
      <c r="G302" s="16"/>
      <c r="L302" s="21"/>
      <c r="M302" s="21"/>
    </row>
    <row r="303" spans="1:13" x14ac:dyDescent="0.35">
      <c r="A303" s="21"/>
      <c r="B303" s="21"/>
      <c r="G303" s="16"/>
      <c r="L303" s="21"/>
      <c r="M303" s="21"/>
    </row>
    <row r="304" spans="1:13" x14ac:dyDescent="0.35">
      <c r="A304" s="21"/>
      <c r="B304" s="21"/>
      <c r="G304" s="16"/>
      <c r="L304" s="21"/>
      <c r="M304" s="21"/>
    </row>
    <row r="305" spans="1:13" x14ac:dyDescent="0.35">
      <c r="A305" s="21"/>
      <c r="B305" s="21"/>
      <c r="G305" s="16"/>
      <c r="L305" s="21"/>
      <c r="M305" s="21"/>
    </row>
    <row r="306" spans="1:13" x14ac:dyDescent="0.35">
      <c r="A306" s="21"/>
      <c r="B306" s="21"/>
      <c r="G306" s="16"/>
      <c r="L306" s="21"/>
      <c r="M306" s="21"/>
    </row>
    <row r="307" spans="1:13" x14ac:dyDescent="0.35">
      <c r="A307" s="21"/>
      <c r="B307" s="21"/>
      <c r="G307" s="16"/>
      <c r="L307" s="21"/>
      <c r="M307" s="21"/>
    </row>
    <row r="308" spans="1:13" x14ac:dyDescent="0.35">
      <c r="A308" s="21"/>
      <c r="B308" s="21"/>
      <c r="L308" s="21"/>
      <c r="M308" s="21"/>
    </row>
    <row r="309" spans="1:13" x14ac:dyDescent="0.35">
      <c r="A309" s="21"/>
      <c r="B309" s="21"/>
      <c r="L309" s="21"/>
      <c r="M309" s="21"/>
    </row>
    <row r="310" spans="1:13" x14ac:dyDescent="0.35">
      <c r="A310" s="21"/>
      <c r="B310" s="21"/>
      <c r="L310" s="21"/>
      <c r="M310" s="21"/>
    </row>
    <row r="311" spans="1:13" x14ac:dyDescent="0.35">
      <c r="A311" s="21"/>
      <c r="B311" s="21"/>
      <c r="L311" s="21"/>
      <c r="M311" s="21"/>
    </row>
    <row r="312" spans="1:13" x14ac:dyDescent="0.35">
      <c r="A312" s="21"/>
      <c r="B312" s="21"/>
      <c r="L312" s="21"/>
      <c r="M312" s="21"/>
    </row>
    <row r="313" spans="1:13" x14ac:dyDescent="0.35">
      <c r="A313" s="21"/>
      <c r="B313" s="21"/>
      <c r="L313" s="21"/>
      <c r="M313" s="21"/>
    </row>
    <row r="314" spans="1:13" x14ac:dyDescent="0.35">
      <c r="A314" s="21"/>
      <c r="B314" s="21"/>
      <c r="G314" s="16"/>
      <c r="L314" s="21"/>
      <c r="M314" s="21"/>
    </row>
    <row r="315" spans="1:13" x14ac:dyDescent="0.35">
      <c r="A315" s="21"/>
      <c r="B315" s="21"/>
      <c r="G315" s="16"/>
      <c r="L315" s="21"/>
      <c r="M315" s="21"/>
    </row>
    <row r="316" spans="1:13" x14ac:dyDescent="0.35">
      <c r="A316" s="21"/>
      <c r="B316" s="21"/>
      <c r="G316" s="16"/>
      <c r="L316" s="21"/>
      <c r="M316" s="21"/>
    </row>
    <row r="317" spans="1:13" x14ac:dyDescent="0.35">
      <c r="A317" s="21"/>
      <c r="B317" s="21"/>
      <c r="G317" s="16"/>
      <c r="L317" s="21"/>
      <c r="M317" s="21"/>
    </row>
    <row r="318" spans="1:13" x14ac:dyDescent="0.35">
      <c r="A318" s="21"/>
      <c r="B318" s="21"/>
      <c r="G318" s="16"/>
      <c r="L318" s="21"/>
      <c r="M318" s="21"/>
    </row>
    <row r="319" spans="1:13" x14ac:dyDescent="0.35">
      <c r="A319" s="21"/>
      <c r="B319" s="21"/>
      <c r="G319" s="16"/>
      <c r="L319" s="21"/>
      <c r="M319" s="21"/>
    </row>
    <row r="320" spans="1:13" x14ac:dyDescent="0.35">
      <c r="A320" s="21"/>
      <c r="B320" s="21"/>
      <c r="G320" s="16"/>
      <c r="L320" s="21"/>
      <c r="M320" s="21"/>
    </row>
    <row r="321" spans="1:13" x14ac:dyDescent="0.35">
      <c r="A321" s="21"/>
      <c r="B321" s="21"/>
      <c r="G321" s="16"/>
      <c r="L321" s="21"/>
      <c r="M321" s="21"/>
    </row>
    <row r="322" spans="1:13" x14ac:dyDescent="0.35">
      <c r="A322" s="21"/>
      <c r="B322" s="21"/>
      <c r="G322" s="16"/>
      <c r="L322" s="21"/>
      <c r="M322" s="21"/>
    </row>
    <row r="323" spans="1:13" x14ac:dyDescent="0.35">
      <c r="A323" s="21"/>
      <c r="B323" s="21"/>
      <c r="G323" s="16"/>
      <c r="L323" s="21"/>
      <c r="M323" s="21"/>
    </row>
    <row r="324" spans="1:13" x14ac:dyDescent="0.35">
      <c r="A324" s="21"/>
      <c r="B324" s="21"/>
      <c r="G324" s="16"/>
      <c r="L324" s="21"/>
      <c r="M324" s="21"/>
    </row>
    <row r="325" spans="1:13" x14ac:dyDescent="0.35">
      <c r="A325" s="21"/>
      <c r="B325" s="21"/>
      <c r="G325" s="16"/>
      <c r="L325" s="21"/>
      <c r="M325" s="21"/>
    </row>
    <row r="326" spans="1:13" x14ac:dyDescent="0.35">
      <c r="A326" s="21"/>
      <c r="B326" s="21"/>
      <c r="L326" s="21"/>
      <c r="M326" s="21"/>
    </row>
    <row r="327" spans="1:13" x14ac:dyDescent="0.35">
      <c r="A327" s="21"/>
      <c r="B327" s="21"/>
      <c r="L327" s="21"/>
      <c r="M327" s="21"/>
    </row>
    <row r="328" spans="1:13" x14ac:dyDescent="0.35">
      <c r="A328" s="21"/>
      <c r="B328" s="21"/>
      <c r="L328" s="21"/>
      <c r="M328" s="21"/>
    </row>
    <row r="329" spans="1:13" x14ac:dyDescent="0.35">
      <c r="A329" s="21"/>
      <c r="B329" s="21"/>
      <c r="L329" s="21"/>
      <c r="M329" s="21"/>
    </row>
    <row r="330" spans="1:13" x14ac:dyDescent="0.35">
      <c r="A330" s="21"/>
      <c r="B330" s="21"/>
      <c r="L330" s="21"/>
      <c r="M330" s="21"/>
    </row>
    <row r="331" spans="1:13" x14ac:dyDescent="0.35">
      <c r="A331" s="21"/>
      <c r="B331" s="21"/>
      <c r="L331" s="21"/>
      <c r="M331" s="21"/>
    </row>
    <row r="332" spans="1:13" x14ac:dyDescent="0.35">
      <c r="A332" s="21"/>
      <c r="B332" s="21"/>
      <c r="L332" s="21"/>
      <c r="M332" s="21"/>
    </row>
    <row r="333" spans="1:13" x14ac:dyDescent="0.35">
      <c r="A333" s="21"/>
      <c r="B333" s="21"/>
      <c r="L333" s="21"/>
      <c r="M333" s="21"/>
    </row>
    <row r="334" spans="1:13" x14ac:dyDescent="0.35">
      <c r="A334" s="21"/>
      <c r="B334" s="21"/>
      <c r="L334" s="21"/>
      <c r="M334" s="21"/>
    </row>
    <row r="335" spans="1:13" x14ac:dyDescent="0.35">
      <c r="A335" s="21"/>
      <c r="B335" s="21"/>
      <c r="L335" s="21"/>
      <c r="M335" s="21"/>
    </row>
    <row r="336" spans="1:13" x14ac:dyDescent="0.35">
      <c r="A336" s="21"/>
      <c r="B336" s="21"/>
      <c r="L336" s="21"/>
      <c r="M336" s="21"/>
    </row>
    <row r="337" spans="1:13" x14ac:dyDescent="0.35">
      <c r="A337" s="21"/>
      <c r="B337" s="21"/>
      <c r="L337" s="21"/>
      <c r="M337" s="21"/>
    </row>
    <row r="338" spans="1:13" x14ac:dyDescent="0.35">
      <c r="A338" s="21"/>
      <c r="B338" s="21"/>
      <c r="L338" s="21"/>
      <c r="M338" s="21"/>
    </row>
    <row r="339" spans="1:13" x14ac:dyDescent="0.35">
      <c r="A339" s="21"/>
      <c r="B339" s="21"/>
      <c r="L339" s="21"/>
      <c r="M339" s="21"/>
    </row>
    <row r="340" spans="1:13" x14ac:dyDescent="0.35">
      <c r="A340" s="21"/>
      <c r="B340" s="21"/>
      <c r="L340" s="21"/>
      <c r="M340" s="21"/>
    </row>
    <row r="341" spans="1:13" x14ac:dyDescent="0.35">
      <c r="A341" s="21"/>
      <c r="B341" s="21"/>
      <c r="L341" s="21"/>
      <c r="M341" s="21"/>
    </row>
    <row r="342" spans="1:13" x14ac:dyDescent="0.35">
      <c r="A342" s="21"/>
      <c r="B342" s="21"/>
      <c r="L342" s="21"/>
      <c r="M342" s="21"/>
    </row>
    <row r="343" spans="1:13" x14ac:dyDescent="0.35">
      <c r="A343" s="21"/>
      <c r="B343" s="21"/>
      <c r="L343" s="21"/>
      <c r="M343" s="21"/>
    </row>
    <row r="344" spans="1:13" x14ac:dyDescent="0.35">
      <c r="A344" s="21"/>
      <c r="B344" s="21"/>
      <c r="L344" s="21"/>
      <c r="M344" s="21"/>
    </row>
    <row r="345" spans="1:13" x14ac:dyDescent="0.35">
      <c r="L345" s="21"/>
      <c r="M345" s="21"/>
    </row>
  </sheetData>
  <sheetProtection password="9DEC" sheet="1" objects="1" scenarios="1"/>
  <protectedRanges>
    <protectedRange sqref="E9:H17" name="Rng3"/>
  </protectedRanges>
  <mergeCells count="4">
    <mergeCell ref="C7:C8"/>
    <mergeCell ref="D7:D8"/>
    <mergeCell ref="A3:M3"/>
    <mergeCell ref="A4:M4"/>
  </mergeCells>
  <dataValidations count="1">
    <dataValidation type="list" allowBlank="1" showInputMessage="1" showErrorMessage="1" sqref="H10:H17 K10:K17" xr:uid="{00000000-0002-0000-0300-000000000000}">
      <formula1>"Y,N"</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00B0F0"/>
  </sheetPr>
  <dimension ref="A1:J100"/>
  <sheetViews>
    <sheetView showGridLines="0" workbookViewId="0">
      <pane ySplit="4" topLeftCell="A5" activePane="bottomLeft" state="frozen"/>
      <selection pane="bottomLeft" activeCell="G11" sqref="G11"/>
    </sheetView>
  </sheetViews>
  <sheetFormatPr defaultColWidth="8.7265625" defaultRowHeight="12.5" x14ac:dyDescent="0.25"/>
  <cols>
    <col min="1" max="1" width="1.81640625" style="23" customWidth="1"/>
    <col min="2" max="2" width="2.453125" style="23" customWidth="1"/>
    <col min="3" max="3" width="64" style="23" customWidth="1"/>
    <col min="4" max="4" width="34.7265625" style="23" customWidth="1"/>
    <col min="5" max="5" width="13.54296875" style="23" customWidth="1"/>
    <col min="6" max="16384" width="8.7265625" style="23"/>
  </cols>
  <sheetData>
    <row r="1" spans="1:10" customFormat="1" ht="27" x14ac:dyDescent="0.35">
      <c r="A1" s="7"/>
      <c r="B1" s="7"/>
      <c r="C1" s="1" t="s">
        <v>0</v>
      </c>
      <c r="D1" s="5"/>
      <c r="E1" s="5"/>
      <c r="F1" s="5"/>
      <c r="G1" s="5"/>
      <c r="H1" s="5"/>
      <c r="I1" s="5"/>
      <c r="J1" s="5"/>
    </row>
    <row r="2" spans="1:10" customFormat="1" ht="7" customHeight="1" x14ac:dyDescent="0.35">
      <c r="A2" s="7"/>
      <c r="B2" s="7"/>
      <c r="C2" s="6"/>
      <c r="D2" s="6"/>
      <c r="E2" s="6"/>
      <c r="F2" s="6"/>
      <c r="G2" s="6"/>
      <c r="H2" s="6"/>
      <c r="I2" s="6"/>
      <c r="J2" s="6"/>
    </row>
    <row r="3" spans="1:10" ht="19.5" x14ac:dyDescent="0.25">
      <c r="A3" s="125" t="s">
        <v>122</v>
      </c>
      <c r="B3" s="125"/>
      <c r="C3" s="125"/>
      <c r="D3" s="125"/>
      <c r="E3" s="125"/>
      <c r="F3" s="125"/>
      <c r="G3" s="125"/>
      <c r="H3" s="125"/>
      <c r="I3" s="125"/>
      <c r="J3" s="125"/>
    </row>
    <row r="4" spans="1:10" ht="13.5" x14ac:dyDescent="0.25">
      <c r="A4" s="126" t="s">
        <v>123</v>
      </c>
      <c r="B4" s="126"/>
      <c r="C4" s="126"/>
      <c r="D4" s="126"/>
      <c r="E4" s="126"/>
      <c r="F4" s="126"/>
      <c r="G4" s="126"/>
      <c r="H4" s="126"/>
      <c r="I4" s="126"/>
      <c r="J4" s="126"/>
    </row>
    <row r="7" spans="1:10" ht="27" x14ac:dyDescent="0.25">
      <c r="C7" s="79" t="s">
        <v>48</v>
      </c>
      <c r="D7" s="80" t="s">
        <v>49</v>
      </c>
      <c r="E7" s="29" t="s">
        <v>101</v>
      </c>
      <c r="F7" s="29" t="s">
        <v>102</v>
      </c>
      <c r="G7" s="29" t="s">
        <v>124</v>
      </c>
    </row>
    <row r="8" spans="1:10" ht="14.5" customHeight="1" x14ac:dyDescent="0.35">
      <c r="C8" s="30" t="s">
        <v>51</v>
      </c>
      <c r="D8" s="30" t="s">
        <v>52</v>
      </c>
      <c r="E8" s="30" t="s">
        <v>112</v>
      </c>
      <c r="F8" s="52">
        <v>14</v>
      </c>
      <c r="G8" s="31">
        <v>0.11382113821138211</v>
      </c>
      <c r="H8"/>
      <c r="I8"/>
      <c r="J8"/>
    </row>
    <row r="9" spans="1:10" ht="14.5" customHeight="1" x14ac:dyDescent="0.35">
      <c r="C9" s="30"/>
      <c r="D9" s="30"/>
      <c r="E9" s="30" t="s">
        <v>114</v>
      </c>
      <c r="F9" s="52">
        <v>43</v>
      </c>
      <c r="G9" s="31">
        <v>0.34959349593495936</v>
      </c>
      <c r="H9"/>
      <c r="I9"/>
      <c r="J9"/>
    </row>
    <row r="10" spans="1:10" ht="14.5" customHeight="1" x14ac:dyDescent="0.35">
      <c r="C10" s="30"/>
      <c r="D10" s="30"/>
      <c r="E10" s="30" t="s">
        <v>116</v>
      </c>
      <c r="F10" s="52">
        <v>66</v>
      </c>
      <c r="G10" s="31">
        <v>0.53658536585365857</v>
      </c>
      <c r="H10"/>
      <c r="I10"/>
      <c r="J10"/>
    </row>
    <row r="11" spans="1:10" ht="14.5" customHeight="1" x14ac:dyDescent="0.35">
      <c r="C11" s="32" t="s">
        <v>125</v>
      </c>
      <c r="D11" s="32"/>
      <c r="E11" s="32"/>
      <c r="F11" s="53">
        <v>123</v>
      </c>
      <c r="G11" s="33">
        <v>0.9498069498069498</v>
      </c>
      <c r="H11"/>
      <c r="I11"/>
      <c r="J11"/>
    </row>
    <row r="12" spans="1:10" ht="14.5" customHeight="1" x14ac:dyDescent="0.35">
      <c r="C12" s="30" t="s">
        <v>56</v>
      </c>
      <c r="D12" s="30" t="s">
        <v>57</v>
      </c>
      <c r="E12" s="30" t="s">
        <v>112</v>
      </c>
      <c r="F12" s="52">
        <v>1</v>
      </c>
      <c r="G12" s="31">
        <v>0.15384615384615385</v>
      </c>
      <c r="H12"/>
      <c r="I12"/>
      <c r="J12"/>
    </row>
    <row r="13" spans="1:10" ht="14.5" customHeight="1" x14ac:dyDescent="0.35">
      <c r="C13" s="30"/>
      <c r="D13" s="30"/>
      <c r="E13" s="30" t="s">
        <v>114</v>
      </c>
      <c r="F13" s="52">
        <v>1.5</v>
      </c>
      <c r="G13" s="31">
        <v>0.23076923076923078</v>
      </c>
      <c r="H13"/>
      <c r="I13"/>
      <c r="J13"/>
    </row>
    <row r="14" spans="1:10" ht="14.5" customHeight="1" x14ac:dyDescent="0.35">
      <c r="C14" s="30"/>
      <c r="D14" s="30"/>
      <c r="E14" s="30" t="s">
        <v>116</v>
      </c>
      <c r="F14" s="52">
        <v>4</v>
      </c>
      <c r="G14" s="31">
        <v>0.61538461538461542</v>
      </c>
      <c r="H14"/>
      <c r="I14"/>
      <c r="J14"/>
    </row>
    <row r="15" spans="1:10" ht="14.5" customHeight="1" x14ac:dyDescent="0.35">
      <c r="C15" s="32" t="s">
        <v>125</v>
      </c>
      <c r="D15" s="32"/>
      <c r="E15" s="32"/>
      <c r="F15" s="53">
        <v>6.5</v>
      </c>
      <c r="G15" s="33">
        <v>5.019305019305019E-2</v>
      </c>
      <c r="H15"/>
      <c r="I15"/>
      <c r="J15"/>
    </row>
    <row r="16" spans="1:10" ht="14.5" customHeight="1" x14ac:dyDescent="0.35">
      <c r="C16" s="34" t="s">
        <v>126</v>
      </c>
      <c r="D16" s="34"/>
      <c r="E16" s="34"/>
      <c r="F16" s="54">
        <v>129.5</v>
      </c>
      <c r="G16" s="34"/>
      <c r="H16"/>
      <c r="I16"/>
      <c r="J16"/>
    </row>
    <row r="17" spans="3:10" ht="14.5" customHeight="1" x14ac:dyDescent="0.35">
      <c r="C17" s="35" t="s">
        <v>127</v>
      </c>
      <c r="D17" s="35"/>
      <c r="E17" s="35"/>
      <c r="F17" s="55">
        <v>129.5</v>
      </c>
      <c r="G17" s="35"/>
      <c r="H17"/>
      <c r="I17"/>
      <c r="J17"/>
    </row>
    <row r="18" spans="3:10" ht="14.5" customHeight="1" x14ac:dyDescent="0.35">
      <c r="C18"/>
      <c r="D18"/>
      <c r="E18"/>
      <c r="F18"/>
      <c r="G18"/>
      <c r="H18"/>
      <c r="I18"/>
      <c r="J18"/>
    </row>
    <row r="19" spans="3:10" ht="14.5" customHeight="1" x14ac:dyDescent="0.35">
      <c r="C19"/>
      <c r="D19"/>
      <c r="E19"/>
      <c r="F19"/>
      <c r="G19"/>
      <c r="H19"/>
      <c r="I19"/>
      <c r="J19"/>
    </row>
    <row r="20" spans="3:10" ht="14.5" customHeight="1" x14ac:dyDescent="0.35">
      <c r="C20"/>
      <c r="D20"/>
      <c r="E20"/>
      <c r="F20"/>
      <c r="G20"/>
      <c r="H20"/>
      <c r="I20"/>
      <c r="J20"/>
    </row>
    <row r="21" spans="3:10" ht="14.5" customHeight="1" x14ac:dyDescent="0.35">
      <c r="C21"/>
      <c r="D21"/>
      <c r="E21"/>
      <c r="F21"/>
      <c r="G21"/>
      <c r="H21"/>
      <c r="I21"/>
      <c r="J21"/>
    </row>
    <row r="22" spans="3:10" ht="14.5" customHeight="1" x14ac:dyDescent="0.35">
      <c r="C22"/>
      <c r="D22"/>
      <c r="E22"/>
      <c r="F22"/>
      <c r="G22"/>
      <c r="H22"/>
      <c r="I22"/>
      <c r="J22"/>
    </row>
    <row r="23" spans="3:10" ht="14.5" customHeight="1" x14ac:dyDescent="0.35">
      <c r="C23"/>
      <c r="D23"/>
      <c r="E23"/>
      <c r="F23"/>
      <c r="G23"/>
      <c r="H23"/>
      <c r="I23"/>
      <c r="J23"/>
    </row>
    <row r="24" spans="3:10" ht="14.5" customHeight="1" x14ac:dyDescent="0.35">
      <c r="C24"/>
      <c r="D24"/>
      <c r="E24"/>
      <c r="F24"/>
      <c r="G24"/>
      <c r="H24"/>
      <c r="I24"/>
      <c r="J24"/>
    </row>
    <row r="25" spans="3:10" ht="14.5" customHeight="1" x14ac:dyDescent="0.35">
      <c r="C25"/>
      <c r="D25"/>
      <c r="E25"/>
      <c r="F25"/>
      <c r="G25"/>
      <c r="H25"/>
      <c r="I25"/>
      <c r="J25"/>
    </row>
    <row r="26" spans="3:10" ht="14.5" x14ac:dyDescent="0.35">
      <c r="C26"/>
      <c r="D26"/>
      <c r="E26"/>
      <c r="F26"/>
      <c r="G26"/>
      <c r="H26"/>
      <c r="I26"/>
      <c r="J26"/>
    </row>
    <row r="27" spans="3:10" ht="14.5" x14ac:dyDescent="0.35">
      <c r="C27"/>
      <c r="D27"/>
      <c r="E27"/>
      <c r="F27"/>
      <c r="G27"/>
      <c r="H27"/>
      <c r="I27"/>
      <c r="J27"/>
    </row>
    <row r="28" spans="3:10" ht="14.5" x14ac:dyDescent="0.35">
      <c r="C28"/>
      <c r="D28"/>
      <c r="E28"/>
      <c r="F28"/>
      <c r="G28"/>
      <c r="H28"/>
      <c r="I28"/>
      <c r="J28"/>
    </row>
    <row r="29" spans="3:10" ht="14.5" x14ac:dyDescent="0.35">
      <c r="C29"/>
      <c r="D29"/>
      <c r="E29"/>
      <c r="F29"/>
      <c r="G29"/>
      <c r="H29"/>
      <c r="I29"/>
      <c r="J29"/>
    </row>
    <row r="30" spans="3:10" ht="14.5" x14ac:dyDescent="0.35">
      <c r="C30"/>
      <c r="D30"/>
      <c r="E30"/>
      <c r="F30"/>
      <c r="G30"/>
      <c r="H30"/>
      <c r="I30"/>
      <c r="J30"/>
    </row>
    <row r="31" spans="3:10" ht="14.5" x14ac:dyDescent="0.35">
      <c r="C31"/>
      <c r="D31"/>
      <c r="E31"/>
      <c r="F31"/>
      <c r="G31"/>
      <c r="H31"/>
      <c r="I31"/>
      <c r="J31"/>
    </row>
    <row r="32" spans="3:10" ht="14.5" x14ac:dyDescent="0.35">
      <c r="C32"/>
      <c r="D32"/>
      <c r="E32"/>
      <c r="F32"/>
      <c r="G32"/>
      <c r="H32"/>
      <c r="I32"/>
      <c r="J32"/>
    </row>
    <row r="33" spans="3:10" ht="14.5" x14ac:dyDescent="0.35">
      <c r="C33"/>
      <c r="D33"/>
      <c r="E33"/>
      <c r="F33"/>
      <c r="G33"/>
      <c r="H33"/>
      <c r="I33"/>
      <c r="J33"/>
    </row>
    <row r="34" spans="3:10" ht="14.5" x14ac:dyDescent="0.35">
      <c r="C34"/>
      <c r="D34"/>
      <c r="E34"/>
      <c r="F34"/>
      <c r="G34"/>
      <c r="H34"/>
      <c r="I34"/>
      <c r="J34"/>
    </row>
    <row r="35" spans="3:10" ht="14.5" x14ac:dyDescent="0.35">
      <c r="C35"/>
      <c r="D35"/>
      <c r="E35"/>
      <c r="F35"/>
      <c r="G35"/>
      <c r="H35"/>
      <c r="I35"/>
      <c r="J35"/>
    </row>
    <row r="36" spans="3:10" ht="14.5" x14ac:dyDescent="0.35">
      <c r="C36"/>
      <c r="D36"/>
      <c r="E36"/>
      <c r="F36"/>
      <c r="G36"/>
      <c r="H36"/>
      <c r="I36"/>
      <c r="J36"/>
    </row>
    <row r="37" spans="3:10" ht="14.5" x14ac:dyDescent="0.35">
      <c r="C37"/>
      <c r="D37"/>
      <c r="E37"/>
      <c r="F37"/>
      <c r="G37"/>
      <c r="H37"/>
      <c r="I37"/>
      <c r="J37"/>
    </row>
    <row r="38" spans="3:10" ht="14.5" x14ac:dyDescent="0.35">
      <c r="C38"/>
      <c r="D38"/>
      <c r="E38"/>
      <c r="F38"/>
      <c r="G38"/>
      <c r="H38"/>
      <c r="I38"/>
      <c r="J38"/>
    </row>
    <row r="39" spans="3:10" ht="14.5" x14ac:dyDescent="0.35">
      <c r="C39"/>
      <c r="D39"/>
      <c r="E39"/>
      <c r="F39"/>
      <c r="G39"/>
      <c r="H39"/>
      <c r="I39"/>
      <c r="J39"/>
    </row>
    <row r="40" spans="3:10" ht="14.5" x14ac:dyDescent="0.35">
      <c r="C40"/>
      <c r="D40"/>
      <c r="E40"/>
      <c r="F40"/>
      <c r="G40"/>
      <c r="H40"/>
      <c r="I40"/>
      <c r="J40"/>
    </row>
    <row r="41" spans="3:10" ht="14.5" x14ac:dyDescent="0.35">
      <c r="C41"/>
      <c r="D41"/>
      <c r="E41"/>
      <c r="F41"/>
      <c r="G41"/>
      <c r="H41"/>
      <c r="I41"/>
      <c r="J41"/>
    </row>
    <row r="42" spans="3:10" ht="14.5" x14ac:dyDescent="0.35">
      <c r="C42"/>
      <c r="D42"/>
      <c r="E42"/>
      <c r="F42"/>
      <c r="G42"/>
      <c r="H42"/>
      <c r="I42"/>
      <c r="J42"/>
    </row>
    <row r="43" spans="3:10" ht="14.5" x14ac:dyDescent="0.35">
      <c r="C43"/>
      <c r="D43"/>
      <c r="E43"/>
      <c r="F43"/>
      <c r="G43"/>
      <c r="H43"/>
      <c r="I43"/>
      <c r="J43"/>
    </row>
    <row r="44" spans="3:10" ht="14.5" x14ac:dyDescent="0.35">
      <c r="C44"/>
      <c r="D44"/>
      <c r="E44"/>
      <c r="F44"/>
      <c r="G44"/>
      <c r="H44"/>
      <c r="I44"/>
      <c r="J44"/>
    </row>
    <row r="45" spans="3:10" ht="14.5" x14ac:dyDescent="0.35">
      <c r="C45"/>
      <c r="D45"/>
      <c r="E45"/>
      <c r="F45"/>
      <c r="G45"/>
      <c r="H45"/>
      <c r="I45"/>
      <c r="J45"/>
    </row>
    <row r="46" spans="3:10" ht="14.5" x14ac:dyDescent="0.35">
      <c r="C46"/>
      <c r="D46"/>
      <c r="E46"/>
      <c r="F46"/>
      <c r="G46"/>
      <c r="H46"/>
      <c r="I46"/>
      <c r="J46"/>
    </row>
    <row r="47" spans="3:10" ht="14.5" x14ac:dyDescent="0.35">
      <c r="C47"/>
      <c r="D47"/>
      <c r="E47"/>
      <c r="F47"/>
      <c r="G47"/>
      <c r="H47"/>
      <c r="I47"/>
      <c r="J47"/>
    </row>
    <row r="48" spans="3:10" ht="14.5" x14ac:dyDescent="0.35">
      <c r="C48"/>
      <c r="D48"/>
      <c r="E48"/>
      <c r="F48"/>
      <c r="G48"/>
      <c r="H48"/>
      <c r="I48"/>
      <c r="J48"/>
    </row>
    <row r="49" spans="3:10" ht="14.5" x14ac:dyDescent="0.35">
      <c r="C49"/>
      <c r="D49"/>
      <c r="E49"/>
      <c r="F49"/>
      <c r="G49"/>
      <c r="H49"/>
      <c r="I49"/>
      <c r="J49"/>
    </row>
    <row r="50" spans="3:10" ht="14.5" x14ac:dyDescent="0.35">
      <c r="C50"/>
      <c r="D50"/>
      <c r="E50"/>
      <c r="F50"/>
      <c r="G50"/>
      <c r="H50"/>
      <c r="I50"/>
      <c r="J50"/>
    </row>
    <row r="51" spans="3:10" ht="14.5" x14ac:dyDescent="0.35">
      <c r="C51"/>
      <c r="D51"/>
      <c r="E51"/>
      <c r="F51"/>
      <c r="G51"/>
      <c r="H51"/>
      <c r="I51"/>
      <c r="J51"/>
    </row>
    <row r="52" spans="3:10" ht="14.5" x14ac:dyDescent="0.35">
      <c r="C52"/>
      <c r="D52"/>
      <c r="E52"/>
      <c r="F52"/>
      <c r="G52"/>
      <c r="H52"/>
      <c r="I52"/>
      <c r="J52"/>
    </row>
    <row r="53" spans="3:10" ht="14.5" x14ac:dyDescent="0.35">
      <c r="C53"/>
      <c r="D53"/>
      <c r="E53"/>
      <c r="F53"/>
      <c r="G53"/>
      <c r="H53"/>
      <c r="I53"/>
      <c r="J53"/>
    </row>
    <row r="54" spans="3:10" ht="14.5" x14ac:dyDescent="0.35">
      <c r="C54"/>
      <c r="D54"/>
      <c r="E54"/>
      <c r="F54"/>
      <c r="G54"/>
      <c r="H54"/>
      <c r="I54"/>
      <c r="J54"/>
    </row>
    <row r="55" spans="3:10" ht="14.5" x14ac:dyDescent="0.35">
      <c r="C55"/>
      <c r="D55"/>
      <c r="E55"/>
      <c r="F55"/>
      <c r="G55"/>
      <c r="H55"/>
      <c r="I55"/>
      <c r="J55"/>
    </row>
    <row r="56" spans="3:10" ht="14.5" x14ac:dyDescent="0.35">
      <c r="C56"/>
      <c r="D56"/>
      <c r="E56"/>
      <c r="F56"/>
      <c r="G56"/>
      <c r="H56"/>
      <c r="I56"/>
      <c r="J56"/>
    </row>
    <row r="57" spans="3:10" ht="14.5" x14ac:dyDescent="0.35">
      <c r="C57"/>
      <c r="D57"/>
      <c r="E57"/>
      <c r="F57"/>
      <c r="G57"/>
      <c r="H57"/>
      <c r="I57"/>
      <c r="J57"/>
    </row>
    <row r="58" spans="3:10" ht="14.5" x14ac:dyDescent="0.35">
      <c r="C58"/>
      <c r="D58"/>
      <c r="E58"/>
      <c r="F58"/>
      <c r="G58"/>
      <c r="H58"/>
      <c r="I58"/>
      <c r="J58"/>
    </row>
    <row r="59" spans="3:10" ht="14.5" x14ac:dyDescent="0.35">
      <c r="C59"/>
      <c r="D59"/>
      <c r="E59"/>
      <c r="F59"/>
      <c r="G59"/>
      <c r="H59"/>
      <c r="I59"/>
      <c r="J59"/>
    </row>
    <row r="60" spans="3:10" ht="14.5" x14ac:dyDescent="0.35">
      <c r="C60"/>
      <c r="D60"/>
      <c r="E60"/>
      <c r="F60"/>
      <c r="G60"/>
      <c r="H60"/>
      <c r="I60"/>
      <c r="J60"/>
    </row>
    <row r="61" spans="3:10" ht="14.5" x14ac:dyDescent="0.35">
      <c r="C61"/>
      <c r="D61"/>
      <c r="E61"/>
      <c r="F61"/>
      <c r="G61"/>
      <c r="H61"/>
      <c r="I61"/>
      <c r="J61"/>
    </row>
    <row r="62" spans="3:10" ht="14.5" x14ac:dyDescent="0.35">
      <c r="C62"/>
      <c r="D62"/>
      <c r="E62"/>
      <c r="F62"/>
      <c r="G62"/>
      <c r="H62"/>
      <c r="I62"/>
      <c r="J62"/>
    </row>
    <row r="63" spans="3:10" ht="14.5" x14ac:dyDescent="0.35">
      <c r="C63"/>
      <c r="D63"/>
      <c r="E63"/>
      <c r="F63"/>
      <c r="G63"/>
      <c r="H63"/>
      <c r="I63"/>
      <c r="J63"/>
    </row>
    <row r="64" spans="3:10" ht="14.5" x14ac:dyDescent="0.35">
      <c r="C64"/>
      <c r="D64"/>
      <c r="E64"/>
      <c r="F64"/>
      <c r="G64"/>
      <c r="H64"/>
      <c r="I64"/>
      <c r="J64"/>
    </row>
    <row r="65" spans="3:10" ht="14.5" x14ac:dyDescent="0.35">
      <c r="C65"/>
      <c r="D65"/>
      <c r="E65"/>
      <c r="F65"/>
      <c r="G65"/>
      <c r="H65"/>
      <c r="I65"/>
      <c r="J65"/>
    </row>
    <row r="66" spans="3:10" ht="14.5" x14ac:dyDescent="0.35">
      <c r="C66"/>
      <c r="D66"/>
      <c r="E66"/>
      <c r="F66"/>
      <c r="G66"/>
      <c r="H66"/>
      <c r="I66"/>
      <c r="J66"/>
    </row>
    <row r="67" spans="3:10" ht="14.5" x14ac:dyDescent="0.35">
      <c r="C67"/>
      <c r="D67"/>
      <c r="E67"/>
      <c r="F67"/>
      <c r="G67"/>
      <c r="H67"/>
      <c r="I67"/>
      <c r="J67"/>
    </row>
    <row r="68" spans="3:10" ht="14.5" x14ac:dyDescent="0.35">
      <c r="C68"/>
      <c r="D68"/>
      <c r="E68"/>
      <c r="F68"/>
      <c r="G68"/>
      <c r="H68"/>
      <c r="I68"/>
      <c r="J68"/>
    </row>
    <row r="69" spans="3:10" ht="14.5" x14ac:dyDescent="0.35">
      <c r="C69"/>
      <c r="D69"/>
      <c r="E69"/>
      <c r="F69"/>
      <c r="G69"/>
      <c r="H69"/>
      <c r="I69"/>
      <c r="J69"/>
    </row>
    <row r="70" spans="3:10" ht="14.5" x14ac:dyDescent="0.35">
      <c r="C70"/>
      <c r="D70"/>
      <c r="E70"/>
      <c r="F70"/>
      <c r="G70"/>
      <c r="H70"/>
      <c r="I70"/>
      <c r="J70"/>
    </row>
    <row r="71" spans="3:10" ht="14.5" x14ac:dyDescent="0.35">
      <c r="C71"/>
      <c r="D71"/>
      <c r="E71"/>
      <c r="F71"/>
      <c r="G71"/>
      <c r="H71"/>
      <c r="I71"/>
      <c r="J71"/>
    </row>
    <row r="72" spans="3:10" ht="14.5" x14ac:dyDescent="0.35">
      <c r="C72"/>
      <c r="D72"/>
      <c r="E72"/>
      <c r="F72"/>
      <c r="G72"/>
      <c r="H72"/>
      <c r="I72"/>
      <c r="J72"/>
    </row>
    <row r="73" spans="3:10" ht="14.5" x14ac:dyDescent="0.35">
      <c r="C73"/>
      <c r="D73"/>
      <c r="E73"/>
      <c r="F73"/>
      <c r="G73"/>
      <c r="H73"/>
      <c r="I73"/>
      <c r="J73"/>
    </row>
    <row r="74" spans="3:10" ht="14.5" x14ac:dyDescent="0.35">
      <c r="C74"/>
      <c r="D74"/>
      <c r="E74"/>
      <c r="F74"/>
      <c r="G74"/>
      <c r="H74"/>
      <c r="I74"/>
      <c r="J74"/>
    </row>
    <row r="75" spans="3:10" ht="14.5" x14ac:dyDescent="0.35">
      <c r="C75"/>
      <c r="D75"/>
      <c r="E75"/>
      <c r="F75"/>
      <c r="G75"/>
      <c r="H75"/>
      <c r="I75"/>
      <c r="J75"/>
    </row>
    <row r="76" spans="3:10" ht="14.5" x14ac:dyDescent="0.35">
      <c r="C76"/>
      <c r="D76"/>
      <c r="E76"/>
      <c r="F76"/>
      <c r="G76"/>
      <c r="H76"/>
      <c r="I76"/>
      <c r="J76"/>
    </row>
    <row r="77" spans="3:10" ht="14.5" x14ac:dyDescent="0.35">
      <c r="C77"/>
      <c r="D77"/>
      <c r="E77"/>
      <c r="F77"/>
      <c r="G77"/>
      <c r="H77"/>
      <c r="I77"/>
      <c r="J77"/>
    </row>
    <row r="78" spans="3:10" ht="14.5" x14ac:dyDescent="0.35">
      <c r="C78"/>
      <c r="D78"/>
      <c r="E78"/>
      <c r="F78"/>
      <c r="G78"/>
      <c r="H78"/>
      <c r="I78"/>
      <c r="J78"/>
    </row>
    <row r="79" spans="3:10" ht="14.5" x14ac:dyDescent="0.35">
      <c r="C79"/>
      <c r="D79"/>
      <c r="E79"/>
      <c r="F79"/>
      <c r="G79"/>
      <c r="H79"/>
      <c r="I79"/>
      <c r="J79"/>
    </row>
    <row r="80" spans="3:10" ht="14.5" x14ac:dyDescent="0.35">
      <c r="C80"/>
      <c r="D80"/>
      <c r="E80"/>
      <c r="F80"/>
      <c r="G80"/>
      <c r="H80"/>
      <c r="I80"/>
      <c r="J80"/>
    </row>
    <row r="81" spans="3:10" ht="14.5" x14ac:dyDescent="0.35">
      <c r="C81"/>
      <c r="D81"/>
      <c r="E81"/>
      <c r="F81"/>
      <c r="G81"/>
      <c r="H81"/>
      <c r="I81"/>
      <c r="J81"/>
    </row>
    <row r="82" spans="3:10" ht="14.5" x14ac:dyDescent="0.35">
      <c r="C82"/>
      <c r="D82"/>
      <c r="E82"/>
      <c r="F82"/>
      <c r="G82"/>
      <c r="H82"/>
      <c r="I82"/>
      <c r="J82"/>
    </row>
    <row r="83" spans="3:10" ht="14.5" x14ac:dyDescent="0.35">
      <c r="C83"/>
      <c r="D83"/>
      <c r="E83"/>
      <c r="F83"/>
      <c r="G83"/>
      <c r="H83"/>
      <c r="I83"/>
      <c r="J83"/>
    </row>
    <row r="84" spans="3:10" ht="14.5" x14ac:dyDescent="0.35">
      <c r="C84"/>
      <c r="D84"/>
      <c r="E84"/>
      <c r="F84"/>
      <c r="G84"/>
      <c r="H84"/>
      <c r="I84"/>
      <c r="J84"/>
    </row>
    <row r="85" spans="3:10" ht="14.5" x14ac:dyDescent="0.35">
      <c r="C85"/>
      <c r="D85"/>
      <c r="E85"/>
      <c r="F85"/>
      <c r="G85"/>
      <c r="H85"/>
      <c r="I85"/>
      <c r="J85"/>
    </row>
    <row r="86" spans="3:10" ht="14.5" x14ac:dyDescent="0.35">
      <c r="C86"/>
      <c r="D86"/>
      <c r="E86"/>
      <c r="F86"/>
      <c r="G86"/>
      <c r="H86"/>
      <c r="I86"/>
      <c r="J86"/>
    </row>
    <row r="87" spans="3:10" ht="14.5" x14ac:dyDescent="0.35">
      <c r="C87"/>
      <c r="D87"/>
      <c r="E87"/>
      <c r="F87"/>
      <c r="G87"/>
      <c r="H87"/>
      <c r="I87"/>
      <c r="J87"/>
    </row>
    <row r="88" spans="3:10" ht="14.5" x14ac:dyDescent="0.35">
      <c r="C88"/>
      <c r="D88"/>
      <c r="E88"/>
      <c r="F88"/>
      <c r="G88"/>
      <c r="H88"/>
      <c r="I88"/>
      <c r="J88"/>
    </row>
    <row r="89" spans="3:10" ht="14.5" x14ac:dyDescent="0.35">
      <c r="C89"/>
      <c r="D89"/>
      <c r="E89"/>
      <c r="F89"/>
      <c r="G89"/>
      <c r="H89"/>
      <c r="I89"/>
      <c r="J89"/>
    </row>
    <row r="90" spans="3:10" ht="14.5" x14ac:dyDescent="0.35">
      <c r="C90"/>
      <c r="D90"/>
      <c r="E90"/>
      <c r="F90"/>
      <c r="G90"/>
      <c r="H90"/>
      <c r="I90"/>
      <c r="J90"/>
    </row>
    <row r="91" spans="3:10" ht="14.5" x14ac:dyDescent="0.35">
      <c r="C91"/>
      <c r="D91"/>
      <c r="E91"/>
      <c r="F91"/>
      <c r="G91"/>
      <c r="H91"/>
      <c r="I91"/>
      <c r="J91"/>
    </row>
    <row r="92" spans="3:10" ht="14.5" x14ac:dyDescent="0.35">
      <c r="C92"/>
      <c r="D92"/>
      <c r="E92"/>
      <c r="F92"/>
      <c r="G92"/>
      <c r="H92"/>
      <c r="I92"/>
      <c r="J92"/>
    </row>
    <row r="93" spans="3:10" ht="14.5" x14ac:dyDescent="0.35">
      <c r="C93"/>
      <c r="D93"/>
      <c r="E93"/>
      <c r="F93"/>
      <c r="G93"/>
      <c r="H93"/>
      <c r="I93"/>
      <c r="J93"/>
    </row>
    <row r="94" spans="3:10" ht="14.5" x14ac:dyDescent="0.35">
      <c r="C94"/>
      <c r="D94"/>
      <c r="E94"/>
      <c r="F94"/>
      <c r="G94"/>
      <c r="H94"/>
      <c r="I94"/>
      <c r="J94"/>
    </row>
    <row r="95" spans="3:10" ht="14.5" x14ac:dyDescent="0.35">
      <c r="C95"/>
      <c r="D95"/>
      <c r="E95"/>
      <c r="F95"/>
      <c r="G95"/>
      <c r="H95"/>
      <c r="I95"/>
      <c r="J95"/>
    </row>
    <row r="96" spans="3:10" ht="14.5" x14ac:dyDescent="0.35">
      <c r="C96"/>
      <c r="D96"/>
      <c r="E96"/>
      <c r="F96"/>
      <c r="G96"/>
      <c r="H96"/>
      <c r="I96"/>
      <c r="J96"/>
    </row>
    <row r="97" spans="3:10" ht="14.5" x14ac:dyDescent="0.35">
      <c r="C97"/>
      <c r="D97"/>
      <c r="E97"/>
      <c r="F97"/>
      <c r="G97"/>
      <c r="H97"/>
      <c r="I97"/>
      <c r="J97"/>
    </row>
    <row r="98" spans="3:10" ht="14.5" x14ac:dyDescent="0.35">
      <c r="C98"/>
      <c r="D98"/>
      <c r="E98"/>
      <c r="F98"/>
      <c r="G98"/>
      <c r="H98"/>
      <c r="I98"/>
      <c r="J98"/>
    </row>
    <row r="99" spans="3:10" ht="14.5" x14ac:dyDescent="0.35">
      <c r="C99"/>
      <c r="D99"/>
      <c r="E99"/>
      <c r="F99"/>
      <c r="G99"/>
      <c r="H99"/>
      <c r="I99"/>
      <c r="J99"/>
    </row>
    <row r="100" spans="3:10" ht="14.5" x14ac:dyDescent="0.35">
      <c r="C100"/>
      <c r="D100"/>
      <c r="E100"/>
      <c r="F100"/>
      <c r="G100"/>
      <c r="H100"/>
      <c r="I100"/>
      <c r="J100"/>
    </row>
  </sheetData>
  <sheetProtection password="9DEC" sheet="1" objects="1" scenarios="1"/>
  <protectedRanges>
    <protectedRange sqref="A3:A4" name="Range1"/>
  </protectedRanges>
  <mergeCells count="2">
    <mergeCell ref="A3:J3"/>
    <mergeCell ref="A4:J4"/>
  </mergeCells>
  <pageMargins left="0.75" right="0.75" top="1" bottom="1" header="0.5" footer="0.5"/>
  <pageSetup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2" tint="-0.499984740745262"/>
  </sheetPr>
  <dimension ref="A1:S19"/>
  <sheetViews>
    <sheetView showGridLines="0" tabSelected="1" workbookViewId="0">
      <pane ySplit="4" topLeftCell="A5" activePane="bottomLeft" state="frozen"/>
      <selection pane="bottomLeft" activeCell="J10" sqref="J10"/>
    </sheetView>
  </sheetViews>
  <sheetFormatPr defaultRowHeight="14.5" x14ac:dyDescent="0.35"/>
  <cols>
    <col min="1" max="1" width="1.7265625" customWidth="1"/>
    <col min="2" max="2" width="1.453125" customWidth="1"/>
    <col min="3" max="3" width="1.54296875" customWidth="1"/>
    <col min="4" max="4" width="7.81640625" customWidth="1"/>
    <col min="5" max="5" width="12.453125" customWidth="1"/>
    <col min="6" max="6" width="22.81640625" customWidth="1"/>
    <col min="8" max="8" width="10.54296875" bestFit="1" customWidth="1"/>
    <col min="9" max="9" width="30.81640625" customWidth="1"/>
    <col min="11" max="11" width="12.453125" customWidth="1"/>
    <col min="12" max="12" width="15.26953125" customWidth="1"/>
    <col min="15" max="15" width="10" customWidth="1"/>
    <col min="19" max="19" width="7.453125" customWidth="1"/>
  </cols>
  <sheetData>
    <row r="1" spans="1:19" ht="27" x14ac:dyDescent="0.35">
      <c r="A1" s="7"/>
      <c r="B1" s="1" t="s">
        <v>0</v>
      </c>
      <c r="C1" s="2"/>
      <c r="D1" s="2"/>
      <c r="E1" s="3"/>
      <c r="F1" s="3"/>
      <c r="G1" s="3"/>
      <c r="H1" s="3"/>
      <c r="I1" s="3"/>
      <c r="J1" s="3"/>
      <c r="K1" s="3"/>
      <c r="L1" s="3"/>
      <c r="M1" s="3"/>
      <c r="N1" s="3"/>
      <c r="O1" s="3"/>
      <c r="P1" s="3"/>
      <c r="Q1" s="3"/>
      <c r="R1" s="3"/>
      <c r="S1" s="3"/>
    </row>
    <row r="2" spans="1:19" ht="6" customHeight="1" x14ac:dyDescent="0.35">
      <c r="A2" s="4"/>
      <c r="B2" s="4"/>
      <c r="C2" s="4"/>
      <c r="D2" s="4"/>
      <c r="E2" s="4"/>
      <c r="F2" s="4"/>
      <c r="G2" s="4"/>
      <c r="H2" s="4"/>
      <c r="I2" s="4"/>
      <c r="J2" s="4"/>
      <c r="K2" s="4"/>
      <c r="L2" s="4"/>
      <c r="M2" s="4"/>
      <c r="N2" s="4"/>
      <c r="O2" s="4"/>
      <c r="P2" s="4"/>
      <c r="Q2" s="4"/>
      <c r="R2" s="4"/>
      <c r="S2" s="4"/>
    </row>
    <row r="3" spans="1:19" ht="14.5" customHeight="1" x14ac:dyDescent="0.35">
      <c r="A3" s="7"/>
      <c r="B3" s="125" t="s">
        <v>128</v>
      </c>
      <c r="C3" s="125"/>
      <c r="D3" s="125"/>
      <c r="E3" s="125"/>
      <c r="F3" s="125"/>
      <c r="G3" s="125"/>
      <c r="H3" s="125"/>
      <c r="I3" s="125"/>
      <c r="J3" s="125"/>
      <c r="K3" s="125"/>
      <c r="L3" s="125"/>
      <c r="M3" s="125"/>
      <c r="N3" s="125"/>
      <c r="O3" s="125"/>
      <c r="P3" s="125"/>
      <c r="Q3" s="125"/>
      <c r="R3" s="125"/>
      <c r="S3" s="3"/>
    </row>
    <row r="4" spans="1:19" x14ac:dyDescent="0.35">
      <c r="A4" s="7"/>
      <c r="B4" s="134" t="s">
        <v>129</v>
      </c>
      <c r="C4" s="135"/>
      <c r="D4" s="135"/>
      <c r="E4" s="135"/>
      <c r="F4" s="135"/>
      <c r="G4" s="135"/>
      <c r="H4" s="135"/>
      <c r="I4" s="135"/>
      <c r="J4" s="135"/>
      <c r="K4" s="135"/>
      <c r="L4" s="135"/>
      <c r="M4" s="135"/>
      <c r="N4" s="135"/>
      <c r="O4" s="135"/>
      <c r="P4" s="135"/>
      <c r="Q4" s="135"/>
      <c r="R4" s="135"/>
      <c r="S4" s="3"/>
    </row>
    <row r="5" spans="1:19" x14ac:dyDescent="0.35">
      <c r="A5" s="7"/>
      <c r="B5" s="7"/>
      <c r="C5" s="7"/>
      <c r="D5" s="7"/>
      <c r="E5" s="7"/>
      <c r="F5" s="7"/>
      <c r="G5" s="7"/>
      <c r="H5" s="7"/>
      <c r="I5" s="7"/>
      <c r="J5" s="7"/>
      <c r="K5" s="7"/>
      <c r="L5" s="7"/>
      <c r="M5" s="7"/>
      <c r="N5" s="7"/>
      <c r="O5" s="7"/>
      <c r="P5" s="7"/>
      <c r="Q5" s="7"/>
      <c r="R5" s="3"/>
      <c r="S5" s="3"/>
    </row>
    <row r="6" spans="1:19" ht="54" x14ac:dyDescent="0.35">
      <c r="A6" s="7"/>
      <c r="B6" s="7"/>
      <c r="C6" s="7"/>
      <c r="D6" s="7"/>
      <c r="E6" s="137" t="s">
        <v>130</v>
      </c>
      <c r="F6" s="137"/>
      <c r="G6" s="83" t="s">
        <v>131</v>
      </c>
      <c r="H6" s="83" t="s">
        <v>132</v>
      </c>
      <c r="I6" s="83" t="s">
        <v>133</v>
      </c>
      <c r="J6" s="7"/>
      <c r="K6" s="137" t="s">
        <v>130</v>
      </c>
      <c r="L6" s="137"/>
      <c r="M6" s="83" t="s">
        <v>134</v>
      </c>
      <c r="N6" s="83" t="s">
        <v>135</v>
      </c>
      <c r="O6" s="83" t="s">
        <v>136</v>
      </c>
      <c r="P6" s="83" t="s">
        <v>132</v>
      </c>
      <c r="Q6" s="7"/>
      <c r="R6" s="3"/>
      <c r="S6" s="3"/>
    </row>
    <row r="7" spans="1:19" ht="14.5" customHeight="1" x14ac:dyDescent="0.35">
      <c r="A7" s="7"/>
      <c r="B7" s="7"/>
      <c r="C7" s="7"/>
      <c r="D7" s="7"/>
      <c r="E7" s="129" t="s">
        <v>137</v>
      </c>
      <c r="F7" s="136"/>
      <c r="G7" s="63">
        <v>0.05</v>
      </c>
      <c r="H7" s="65">
        <f>G7*$H$9</f>
        <v>6.4750000000000005</v>
      </c>
      <c r="I7" s="71" t="s">
        <v>138</v>
      </c>
      <c r="J7" s="7"/>
      <c r="K7" s="129" t="s">
        <v>139</v>
      </c>
      <c r="L7" s="136"/>
      <c r="M7" s="73"/>
      <c r="N7" s="73"/>
      <c r="O7" s="72"/>
      <c r="P7" s="76">
        <f>SUM(P8:P10)</f>
        <v>432</v>
      </c>
      <c r="Q7" s="7"/>
      <c r="R7" s="3"/>
      <c r="S7" s="3"/>
    </row>
    <row r="8" spans="1:19" ht="14.5" customHeight="1" x14ac:dyDescent="0.35">
      <c r="A8" s="7"/>
      <c r="B8" s="7"/>
      <c r="C8" s="7"/>
      <c r="D8" s="7"/>
      <c r="E8" s="129" t="s">
        <v>140</v>
      </c>
      <c r="F8" s="136"/>
      <c r="G8" s="63">
        <v>0.05</v>
      </c>
      <c r="H8" s="65">
        <f>G8*$H$9</f>
        <v>6.4750000000000005</v>
      </c>
      <c r="I8" s="71" t="s">
        <v>138</v>
      </c>
      <c r="J8" s="7"/>
      <c r="K8" s="127" t="s">
        <v>141</v>
      </c>
      <c r="L8" s="128"/>
      <c r="M8" s="74">
        <v>43888</v>
      </c>
      <c r="N8" s="74">
        <v>43900</v>
      </c>
      <c r="O8" s="75">
        <v>2</v>
      </c>
      <c r="P8" s="75">
        <f>NETWORKDAYS(M8,N8) * 8 * O8</f>
        <v>144</v>
      </c>
      <c r="Q8" s="7"/>
      <c r="R8" s="3"/>
      <c r="S8" s="3"/>
    </row>
    <row r="9" spans="1:19" ht="15" customHeight="1" x14ac:dyDescent="0.35">
      <c r="A9" s="7"/>
      <c r="B9" s="7"/>
      <c r="C9" s="7"/>
      <c r="D9" s="7"/>
      <c r="E9" s="129" t="s">
        <v>142</v>
      </c>
      <c r="F9" s="136"/>
      <c r="G9" s="63">
        <f>SUM(G10:G12)</f>
        <v>1</v>
      </c>
      <c r="H9" s="65">
        <f>VLOOKUP("Grand Totals",'Estimation Summary'!C:H,4,FALSE)</f>
        <v>129.5</v>
      </c>
      <c r="I9" s="71" t="s">
        <v>143</v>
      </c>
      <c r="J9" s="7"/>
      <c r="K9" s="127" t="s">
        <v>144</v>
      </c>
      <c r="L9" s="128"/>
      <c r="M9" s="74">
        <v>43918</v>
      </c>
      <c r="N9" s="74">
        <v>43933</v>
      </c>
      <c r="O9" s="75">
        <v>2</v>
      </c>
      <c r="P9" s="75">
        <f t="shared" ref="P9:P10" si="0">NETWORKDAYS(M9,N9) * 8 * O9</f>
        <v>160</v>
      </c>
      <c r="Q9" s="7"/>
      <c r="R9" s="3"/>
      <c r="S9" s="3"/>
    </row>
    <row r="10" spans="1:19" ht="23.15" customHeight="1" x14ac:dyDescent="0.35">
      <c r="A10" s="7"/>
      <c r="B10" s="7"/>
      <c r="C10" s="7"/>
      <c r="D10" s="7"/>
      <c r="E10" s="127" t="s">
        <v>145</v>
      </c>
      <c r="F10" s="128"/>
      <c r="G10" s="68">
        <v>0.3</v>
      </c>
      <c r="H10" s="69">
        <f t="shared" ref="H10:H12" si="1">G10*$H$9</f>
        <v>38.85</v>
      </c>
      <c r="I10" s="71" t="s">
        <v>138</v>
      </c>
      <c r="J10" s="7"/>
      <c r="K10" s="127" t="s">
        <v>146</v>
      </c>
      <c r="L10" s="128"/>
      <c r="M10" s="74">
        <v>43936</v>
      </c>
      <c r="N10" s="74">
        <v>43947</v>
      </c>
      <c r="O10" s="75">
        <v>2</v>
      </c>
      <c r="P10" s="75">
        <f t="shared" si="0"/>
        <v>128</v>
      </c>
      <c r="Q10" s="7"/>
      <c r="R10" s="3"/>
      <c r="S10" s="3"/>
    </row>
    <row r="11" spans="1:19" x14ac:dyDescent="0.35">
      <c r="A11" s="7"/>
      <c r="B11" s="7"/>
      <c r="C11" s="7"/>
      <c r="D11" s="7"/>
      <c r="E11" s="127" t="s">
        <v>147</v>
      </c>
      <c r="F11" s="128"/>
      <c r="G11" s="68">
        <v>0.05</v>
      </c>
      <c r="H11" s="69">
        <f t="shared" si="1"/>
        <v>6.4750000000000005</v>
      </c>
      <c r="I11" s="71" t="s">
        <v>138</v>
      </c>
      <c r="J11" s="7"/>
      <c r="K11" s="129" t="s">
        <v>148</v>
      </c>
      <c r="L11" s="136"/>
      <c r="M11" s="77">
        <v>43857</v>
      </c>
      <c r="N11" s="77">
        <v>43866</v>
      </c>
      <c r="O11" s="82">
        <v>1</v>
      </c>
      <c r="P11" s="64">
        <f>NETWORKDAYS(M11,N11) * 9 * O11</f>
        <v>72</v>
      </c>
      <c r="Q11" s="7"/>
      <c r="R11" s="3"/>
      <c r="S11" s="3"/>
    </row>
    <row r="12" spans="1:19" ht="17.149999999999999" customHeight="1" x14ac:dyDescent="0.35">
      <c r="A12" s="7"/>
      <c r="B12" s="7"/>
      <c r="C12" s="7"/>
      <c r="D12" s="7"/>
      <c r="E12" s="127" t="s">
        <v>149</v>
      </c>
      <c r="F12" s="128"/>
      <c r="G12" s="68">
        <v>0.65</v>
      </c>
      <c r="H12" s="69">
        <f t="shared" si="1"/>
        <v>84.174999999999997</v>
      </c>
      <c r="I12" s="71" t="s">
        <v>138</v>
      </c>
      <c r="J12" s="7"/>
      <c r="K12" s="138" t="s">
        <v>150</v>
      </c>
      <c r="L12" s="138"/>
      <c r="M12" s="138"/>
      <c r="N12" s="138"/>
      <c r="O12" s="138"/>
      <c r="P12" s="64">
        <f>SUM(P7,P11)</f>
        <v>504</v>
      </c>
      <c r="Q12" s="7"/>
      <c r="R12" s="3"/>
      <c r="S12" s="3"/>
    </row>
    <row r="13" spans="1:19" ht="14.5" customHeight="1" x14ac:dyDescent="0.35">
      <c r="A13" s="7"/>
      <c r="B13" s="7"/>
      <c r="C13" s="7"/>
      <c r="D13" s="7"/>
      <c r="E13" s="129" t="s">
        <v>151</v>
      </c>
      <c r="F13" s="136"/>
      <c r="G13" s="63">
        <v>0.2</v>
      </c>
      <c r="H13" s="65">
        <f>G13*$H$9</f>
        <v>25.900000000000002</v>
      </c>
      <c r="I13" s="71" t="s">
        <v>138</v>
      </c>
      <c r="J13" s="7"/>
      <c r="K13" s="7"/>
      <c r="L13" s="7"/>
      <c r="M13" s="7"/>
      <c r="N13" s="7"/>
      <c r="O13" s="7"/>
      <c r="P13" s="7"/>
      <c r="Q13" s="7"/>
      <c r="R13" s="3"/>
      <c r="S13" s="3"/>
    </row>
    <row r="14" spans="1:19" ht="17.5" customHeight="1" x14ac:dyDescent="0.35">
      <c r="A14" s="7"/>
      <c r="B14" s="7"/>
      <c r="C14" s="7"/>
      <c r="D14" s="7"/>
      <c r="E14" s="129" t="s">
        <v>152</v>
      </c>
      <c r="F14" s="130"/>
      <c r="G14" s="63">
        <f>SUM(G15:G17)</f>
        <v>0.44999999999999996</v>
      </c>
      <c r="H14" s="65">
        <f>SUM(H15:H17)</f>
        <v>37.878749999999997</v>
      </c>
      <c r="I14" s="71" t="s">
        <v>153</v>
      </c>
      <c r="J14" s="7"/>
      <c r="K14" s="7"/>
      <c r="L14" s="7"/>
      <c r="M14" s="7"/>
      <c r="N14" s="7"/>
      <c r="O14" s="7"/>
      <c r="P14" s="7"/>
      <c r="Q14" s="7"/>
      <c r="R14" s="3"/>
      <c r="S14" s="3"/>
    </row>
    <row r="15" spans="1:19" ht="17.5" customHeight="1" x14ac:dyDescent="0.35">
      <c r="A15" s="7"/>
      <c r="B15" s="7"/>
      <c r="C15" s="7"/>
      <c r="D15" s="7"/>
      <c r="E15" s="131" t="s">
        <v>154</v>
      </c>
      <c r="F15" s="132"/>
      <c r="G15" s="70">
        <v>0.15</v>
      </c>
      <c r="H15" s="69">
        <f>G15*$H$12</f>
        <v>12.626249999999999</v>
      </c>
      <c r="I15" s="71" t="s">
        <v>155</v>
      </c>
      <c r="J15" s="7"/>
      <c r="K15" s="7"/>
      <c r="L15" s="7"/>
      <c r="M15" s="7"/>
      <c r="N15" s="7"/>
      <c r="O15" s="7"/>
      <c r="P15" s="7"/>
      <c r="Q15" s="7"/>
      <c r="R15" s="3"/>
      <c r="S15" s="3"/>
    </row>
    <row r="16" spans="1:19" ht="17.5" customHeight="1" x14ac:dyDescent="0.35">
      <c r="A16" s="7"/>
      <c r="B16" s="7"/>
      <c r="C16" s="7"/>
      <c r="D16" s="7"/>
      <c r="E16" s="131" t="s">
        <v>156</v>
      </c>
      <c r="F16" s="132"/>
      <c r="G16" s="70">
        <v>0.15</v>
      </c>
      <c r="H16" s="69">
        <f>G16*$H$12</f>
        <v>12.626249999999999</v>
      </c>
      <c r="I16" s="71" t="s">
        <v>155</v>
      </c>
      <c r="J16" s="7"/>
      <c r="K16" s="7"/>
      <c r="L16" s="7"/>
      <c r="M16" s="7"/>
      <c r="N16" s="7"/>
      <c r="O16" s="7"/>
      <c r="P16" s="7"/>
      <c r="Q16" s="7"/>
      <c r="R16" s="3"/>
      <c r="S16" s="3"/>
    </row>
    <row r="17" spans="1:19" ht="17.5" customHeight="1" x14ac:dyDescent="0.35">
      <c r="A17" s="7"/>
      <c r="B17" s="7"/>
      <c r="C17" s="7"/>
      <c r="D17" s="7"/>
      <c r="E17" s="131" t="s">
        <v>157</v>
      </c>
      <c r="F17" s="132"/>
      <c r="G17" s="70">
        <v>0.15</v>
      </c>
      <c r="H17" s="69">
        <f>G17*$H$12</f>
        <v>12.626249999999999</v>
      </c>
      <c r="I17" s="78"/>
      <c r="J17" s="7"/>
      <c r="K17" s="7"/>
      <c r="L17" s="7"/>
      <c r="M17" s="7"/>
      <c r="N17" s="7"/>
      <c r="O17" s="7"/>
      <c r="P17" s="7"/>
      <c r="Q17" s="7"/>
      <c r="R17" s="3"/>
      <c r="S17" s="3"/>
    </row>
    <row r="18" spans="1:19" ht="28.5" customHeight="1" x14ac:dyDescent="0.35">
      <c r="A18" s="7"/>
      <c r="B18" s="7"/>
      <c r="C18" s="7"/>
      <c r="D18" s="7"/>
      <c r="E18" s="133" t="s">
        <v>158</v>
      </c>
      <c r="F18" s="133"/>
      <c r="G18" s="133"/>
      <c r="H18" s="64">
        <f>SUM(H7,H8,H9,H13,H14,P12)</f>
        <v>710.22874999999999</v>
      </c>
      <c r="I18" s="7"/>
      <c r="J18" s="7"/>
      <c r="K18" s="7"/>
      <c r="L18" s="7"/>
      <c r="M18" s="7"/>
      <c r="N18" s="7"/>
      <c r="O18" s="7"/>
      <c r="P18" s="7"/>
      <c r="Q18" s="7"/>
      <c r="R18" s="7"/>
      <c r="S18" s="7"/>
    </row>
    <row r="19" spans="1:19" x14ac:dyDescent="0.35">
      <c r="A19" s="7"/>
      <c r="B19" s="7"/>
      <c r="C19" s="7"/>
      <c r="D19" s="7"/>
      <c r="E19" s="7"/>
      <c r="F19" s="7"/>
      <c r="G19" s="7"/>
      <c r="H19" s="7"/>
      <c r="I19" s="7"/>
      <c r="J19" s="7"/>
      <c r="K19" s="7"/>
      <c r="L19" s="7"/>
      <c r="M19" s="7"/>
      <c r="N19" s="7"/>
      <c r="O19" s="7"/>
      <c r="P19" s="7"/>
      <c r="Q19" s="7"/>
      <c r="R19" s="7"/>
      <c r="S19" s="7"/>
    </row>
  </sheetData>
  <sheetProtection password="9DEC" sheet="1" objects="1" scenarios="1"/>
  <protectedRanges>
    <protectedRange sqref="G15:G17" name="Rng1"/>
    <protectedRange sqref="G8:G12 G13 G14 G15:G17 G18 B3 B4" name="Rng2"/>
  </protectedRanges>
  <mergeCells count="22">
    <mergeCell ref="E18:G18"/>
    <mergeCell ref="B3:R3"/>
    <mergeCell ref="B4:R4"/>
    <mergeCell ref="E9:F9"/>
    <mergeCell ref="E13:F13"/>
    <mergeCell ref="E7:F7"/>
    <mergeCell ref="E8:F8"/>
    <mergeCell ref="E10:F10"/>
    <mergeCell ref="E11:F11"/>
    <mergeCell ref="E12:F12"/>
    <mergeCell ref="E6:F6"/>
    <mergeCell ref="K11:L11"/>
    <mergeCell ref="K12:O12"/>
    <mergeCell ref="K6:L6"/>
    <mergeCell ref="K7:L7"/>
    <mergeCell ref="K8:L8"/>
    <mergeCell ref="K10:L10"/>
    <mergeCell ref="E14:F14"/>
    <mergeCell ref="E17:F17"/>
    <mergeCell ref="E15:F15"/>
    <mergeCell ref="E16:F16"/>
    <mergeCell ref="K9:L9"/>
  </mergeCells>
  <conditionalFormatting sqref="G9">
    <cfRule type="cellIs" dxfId="1" priority="1" operator="lessThan">
      <formula>1</formula>
    </cfRule>
    <cfRule type="cellIs" dxfId="0" priority="2" operator="greaterThan">
      <formula>1</formula>
    </cfRule>
  </conditionalFormatting>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Author_selected xmlns="http://schemas.microsoft.com/sharepoint/v3">
      <UserInfo>
        <DisplayName>Subudhi, Deepak</DisplayName>
        <AccountId>76373</AccountId>
        <AccountType/>
      </UserInfo>
      <UserInfo>
        <DisplayName>Tewary, Ritesh</DisplayName>
        <AccountId>287913</AccountId>
        <AccountType/>
      </UserInfo>
    </Author_selected>
    <Local_x0020_Internal_x0020_ServiceTaxHTField0 xmlns="7AF0C9C1-571A-469E-93FE-640E88AEF1EC">
      <Terms xmlns="http://schemas.microsoft.com/office/infopath/2007/PartnerControls"/>
    </Local_x0020_Internal_x0020_ServiceTaxHTField0>
    <DescriptionHTML xmlns="http://schemas.microsoft.com/sharepoint/v3" xsi:nil="true"/>
    <Global_x0020_Internal_x0020_ServiceTaxHTField0 xmlns="7AF0C9C1-571A-469E-93FE-640E88AEF1EC">
      <Terms xmlns="http://schemas.microsoft.com/office/infopath/2007/PartnerControls"/>
    </Global_x0020_Internal_x0020_ServiceTaxHTField0>
    <Local_x0020_Content_x0020_TypeTaxHTField0 xmlns="8DD08C88-CC4C-4D35-9129-A70DAA36BE5E">
      <Terms xmlns="http://schemas.microsoft.com/office/infopath/2007/PartnerControls">
        <TermInfo xmlns="http://schemas.microsoft.com/office/infopath/2007/PartnerControls">
          <TermName xmlns="http://schemas.microsoft.com/office/infopath/2007/PartnerControls">United States:Templates:Deliverable Templates</TermName>
          <TermId xmlns="http://schemas.microsoft.com/office/infopath/2007/PartnerControls">8158b41d-9a08-4cdb-8811-859533dc699d</TermId>
        </TermInfo>
      </Terms>
    </Local_x0020_Content_x0020_TypeTaxHTField0>
    <Client xmlns="http://schemas.microsoft.com/sharepoint/v3" xsi:nil="true"/>
    <i67d27b5dd1e4ed29b03622e76ee750b xmlns="a3273937-55e7-450c-ac1f-0f7de532f690">
      <Terms xmlns="http://schemas.microsoft.com/office/infopath/2007/PartnerControls"/>
    </i67d27b5dd1e4ed29b03622e76ee750b>
    <Primary_x0020_Global_x0020_IndustTaxHTField0 xmlns="83DDB362-4C05-4E52-A8D9-EF2F47978B8D">
      <Terms xmlns="http://schemas.microsoft.com/office/infopath/2007/PartnerControls"/>
    </Primary_x0020_Global_x0020_IndustTaxHTField0>
    <ClientID xmlns="a3273937-55e7-450c-ac1f-0f7de532f690" xsi:nil="true"/>
    <IPCO_x0020_DesignationTaxHTField0 xmlns="0DBE4740-AD0E-4EAB-9055-8EB1C48284D9">
      <Terms xmlns="http://schemas.microsoft.com/office/infopath/2007/PartnerControls">
        <TermInfo xmlns="http://schemas.microsoft.com/office/infopath/2007/PartnerControls">
          <TermName xmlns="http://schemas.microsoft.com/office/infopath/2007/PartnerControls">May be edited and used internally or externally for any purpose (Category D)</TermName>
          <TermId xmlns="http://schemas.microsoft.com/office/infopath/2007/PartnerControls">f8400f62-65c9-4658-9900-b0ea185e4722</TermId>
        </TermInfo>
      </Terms>
    </IPCO_x0020_DesignationTaxHTField0>
    <Primary_x0020_Local_x0020_IndustTaxHTField0 xmlns="83DDB362-4C05-4E52-A8D9-EF2F47978B8D">
      <Terms xmlns="http://schemas.microsoft.com/office/infopath/2007/PartnerControls"/>
    </Primary_x0020_Local_x0020_IndustTaxHTField0>
    <Author_entered xmlns="http://schemas.microsoft.com/sharepoint/v3" xsi:nil="true"/>
    <Contributor xmlns="http://schemas.microsoft.com/sharepoint/v3">
      <UserInfo>
        <DisplayName>Subudhi, Deepak</DisplayName>
        <AccountId>76373</AccountId>
        <AccountType/>
      </UserInfo>
    </Contributor>
    <Global_x0020_Content_x0020_TypeTaxHTField0 xmlns="8DD08C88-CC4C-4D35-9129-A70DAA36BE5E">
      <Terms xmlns="http://schemas.microsoft.com/office/infopath/2007/PartnerControls">
        <TermInfo xmlns="http://schemas.microsoft.com/office/infopath/2007/PartnerControls">
          <TermName xmlns="http://schemas.microsoft.com/office/infopath/2007/PartnerControls">Templates:Deliverable Templates</TermName>
          <TermId xmlns="http://schemas.microsoft.com/office/infopath/2007/PartnerControls">db988a17-066d-4b80-884a-8ad3dfe301fa</TermId>
        </TermInfo>
      </Terms>
    </Global_x0020_Content_x0020_TypeTaxHTField0>
    <Primary_x0020_Global_x0020_ClientTaxHTField0 xmlns="7D1768DD-F29E-4DC2-9191-F2636B9FA92C">
      <Terms xmlns="http://schemas.microsoft.com/office/infopath/2007/PartnerControls">
        <TermInfo xmlns="http://schemas.microsoft.com/office/infopath/2007/PartnerControls">
          <TermName xmlns="http://schemas.microsoft.com/office/infopath/2007/PartnerControls">Consulting:Core Business Operations</TermName>
          <TermId xmlns="http://schemas.microsoft.com/office/infopath/2007/PartnerControls">42468e4a-b2ea-4028-8de0-b4c4da8d97c9</TermId>
        </TermInfo>
      </Terms>
    </Primary_x0020_Global_x0020_ClientTaxHTField0>
    <Applicable_x0020_GeographyTaxHTField0 xmlns="5A51C775-C49C-428B-8C1E-2F89178D00F4">
      <Terms xmlns="http://schemas.microsoft.com/office/infopath/2007/PartnerControls">
        <TermInfo xmlns="http://schemas.microsoft.com/office/infopath/2007/PartnerControls">
          <TermName xmlns="http://schemas.microsoft.com/office/infopath/2007/PartnerControls">Global</TermName>
          <TermId xmlns="http://schemas.microsoft.com/office/infopath/2007/PartnerControls">f12aef73-b423-4016-a43f-15722d3a0a5e</TermId>
        </TermInfo>
      </Terms>
    </Applicable_x0020_GeographyTaxHTField0>
    <KAM_x0020_LanguageTaxHTField0 xmlns="39C40E9B-856B-46A7-8793-65A6FC1828D8">
      <Terms xmlns="http://schemas.microsoft.com/office/infopath/2007/PartnerControls">
        <TermInfo xmlns="http://schemas.microsoft.com/office/infopath/2007/PartnerControls">
          <TermName xmlns="http://schemas.microsoft.com/office/infopath/2007/PartnerControls">English (EN) (1787)</TermName>
          <TermId xmlns="http://schemas.microsoft.com/office/infopath/2007/PartnerControls">b169a262-1aaa-4ccb-9acf-78a36c1d9bab</TermId>
        </TermInfo>
      </Terms>
    </KAM_x0020_LanguageTaxHTField0>
    <Secondary_x0020_Local_x0020_InduTaxHTField0 xmlns="546D9DE3-080E-4EC6-B7DD-508C11F603C7">
      <Terms xmlns="http://schemas.microsoft.com/office/infopath/2007/PartnerControls"/>
    </Secondary_x0020_Local_x0020_InduTaxHTField0>
    <TaxCatchAll xmlns="a3273937-55e7-450c-ac1f-0f7de532f690">
      <Value>17779</Value>
      <Value>14564</Value>
      <Value>19307</Value>
      <Value>19316</Value>
      <Value>17786</Value>
      <Value>14521</Value>
      <Value>4014</Value>
      <Value>375</Value>
    </TaxCatchAll>
    <ClientLukup xmlns="a3273937-55e7-450c-ac1f-0f7de532f690" xsi:nil="true"/>
    <Geography_x0020_of_x0020_OriginTaxHTField0 xmlns="994E32D3-2E21-4611-87E1-D68FC0813440">
      <Terms xmlns="http://schemas.microsoft.com/office/infopath/2007/PartnerControls">
        <TermInfo xmlns="http://schemas.microsoft.com/office/infopath/2007/PartnerControls">
          <TermName xmlns="http://schemas.microsoft.com/office/infopath/2007/PartnerControls">Americas (Region):United States:United States (US)</TermName>
          <TermId xmlns="http://schemas.microsoft.com/office/infopath/2007/PartnerControls">8cb0099f-1dbf-4b3c-9b7f-d98051a79fa3</TermId>
        </TermInfo>
      </Terms>
    </Geography_x0020_of_x0020_OriginTaxHTField0>
    <Secondary_x0020_Global_x0020_ClieTaxHTField0 xmlns="3A0186DE-B11E-4A29-9C82-428D45BCA71F">
      <Terms xmlns="http://schemas.microsoft.com/office/infopath/2007/PartnerControls"/>
    </Secondary_x0020_Global_x0020_ClieTaxHTField0>
    <Primary_x0020_Local_x0020_ClientTaxHTField0 xmlns="7D1768DD-F29E-4DC2-9191-F2636B9FA92C">
      <Terms xmlns="http://schemas.microsoft.com/office/infopath/2007/PartnerControls">
        <TermInfo xmlns="http://schemas.microsoft.com/office/infopath/2007/PartnerControls">
          <TermName xmlns="http://schemas.microsoft.com/office/infopath/2007/PartnerControls">Global:Consulting:Core Business Operations</TermName>
          <TermId xmlns="http://schemas.microsoft.com/office/infopath/2007/PartnerControls">42468e4a-b2ea-4028-8de0-b4c4da8d97c9</TermId>
        </TermInfo>
      </Terms>
    </Primary_x0020_Local_x0020_ClientTaxHTField0>
    <Secondary_x0020_Global_x0020_InduTaxHTField0 xmlns="546D9DE3-080E-4EC6-B7DD-508C11F603C7">
      <Terms xmlns="http://schemas.microsoft.com/office/infopath/2007/PartnerControls"/>
    </Secondary_x0020_Global_x0020_InduTaxHTField0>
    <Secondary_x0020_Local_x0020_ClieTaxHTField0 xmlns="3A0186DE-B11E-4A29-9C82-428D45BCA71F">
      <Terms xmlns="http://schemas.microsoft.com/office/infopath/2007/PartnerControls"/>
    </Secondary_x0020_Local_x0020_ClieTaxHTField0>
    <Abstract xmlns="513ae4d5-443f-4bc1-9f25-8f68dc5aa0c0">Estimate Data Migration and MDM Testing Efforts</Abstract>
    <BusinessTitle xmlns="513ae4d5-443f-4bc1-9f25-8f68dc5aa0c0">Data Migration and MDM Testing Effort Estimation</BusinessTitle>
    <KAMActivityId xmlns="513ae4d5-443f-4bc1-9f25-8f68dc5aa0c0" xsi:nil="true"/>
    <ContentDate xmlns="513ae4d5-443f-4bc1-9f25-8f68dc5aa0c0">2020-03-25T00:00:00+00:00</ContentDate>
    <KA_x0020_Resource xmlns="513ae4d5-443f-4bc1-9f25-8f68dc5aa0c0" xsi:nil="true"/>
    <Designated_x0020_QA xmlns="513ae4d5-443f-4bc1-9f25-8f68dc5aa0c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New Document" ma:contentTypeID="0x0101002880177DFDC248C38C745E1D664A5FC5009468A19E74275348838589BEFD6A9573" ma:contentTypeVersion="465" ma:contentTypeDescription="Create a new Document" ma:contentTypeScope="" ma:versionID="aeeed5dbca77bfd49f4af07ab5d9ef94">
  <xsd:schema xmlns:xsd="http://www.w3.org/2001/XMLSchema" xmlns:xs="http://www.w3.org/2001/XMLSchema" xmlns:p="http://schemas.microsoft.com/office/2006/metadata/properties" xmlns:ns1="http://schemas.microsoft.com/sharepoint/v3" xmlns:ns2="513ae4d5-443f-4bc1-9f25-8f68dc5aa0c0" xmlns:ns3="7AF0C9C1-571A-469E-93FE-640E88AEF1EC" xmlns:ns4="a3273937-55e7-450c-ac1f-0f7de532f690" xmlns:ns5="994E32D3-2E21-4611-87E1-D68FC0813440" xmlns:ns6="8DD08C88-CC4C-4D35-9129-A70DAA36BE5E" xmlns:ns7="83DDB362-4C05-4E52-A8D9-EF2F47978B8D" xmlns:ns8="7D1768DD-F29E-4DC2-9191-F2636B9FA92C" xmlns:ns9="0DBE4740-AD0E-4EAB-9055-8EB1C48284D9" xmlns:ns10="39C40E9B-856B-46A7-8793-65A6FC1828D8" xmlns:ns11="3A0186DE-B11E-4A29-9C82-428D45BCA71F" xmlns:ns12="546D9DE3-080E-4EC6-B7DD-508C11F603C7" xmlns:ns13="5A51C775-C49C-428B-8C1E-2F89178D00F4" targetNamespace="http://schemas.microsoft.com/office/2006/metadata/properties" ma:root="true" ma:fieldsID="0decc36a5c9104f5115239ea1cdcbfb2" ns1:_="" ns2:_="" ns3:_="" ns4:_="" ns5:_="" ns6:_="" ns7:_="" ns8:_="" ns9:_="" ns10:_="" ns11:_="" ns12:_="" ns13:_="">
    <xsd:import namespace="http://schemas.microsoft.com/sharepoint/v3"/>
    <xsd:import namespace="513ae4d5-443f-4bc1-9f25-8f68dc5aa0c0"/>
    <xsd:import namespace="7AF0C9C1-571A-469E-93FE-640E88AEF1EC"/>
    <xsd:import namespace="a3273937-55e7-450c-ac1f-0f7de532f690"/>
    <xsd:import namespace="994E32D3-2E21-4611-87E1-D68FC0813440"/>
    <xsd:import namespace="8DD08C88-CC4C-4D35-9129-A70DAA36BE5E"/>
    <xsd:import namespace="83DDB362-4C05-4E52-A8D9-EF2F47978B8D"/>
    <xsd:import namespace="7D1768DD-F29E-4DC2-9191-F2636B9FA92C"/>
    <xsd:import namespace="0DBE4740-AD0E-4EAB-9055-8EB1C48284D9"/>
    <xsd:import namespace="39C40E9B-856B-46A7-8793-65A6FC1828D8"/>
    <xsd:import namespace="3A0186DE-B11E-4A29-9C82-428D45BCA71F"/>
    <xsd:import namespace="546D9DE3-080E-4EC6-B7DD-508C11F603C7"/>
    <xsd:import namespace="5A51C775-C49C-428B-8C1E-2F89178D00F4"/>
    <xsd:element name="properties">
      <xsd:complexType>
        <xsd:sequence>
          <xsd:element name="documentManagement">
            <xsd:complexType>
              <xsd:all>
                <xsd:element ref="ns1:DescriptionHTML" minOccurs="0"/>
                <xsd:element ref="ns1:Author_selected" minOccurs="0"/>
                <xsd:element ref="ns3:Global_x0020_Internal_x0020_ServiceTaxHTField0" minOccurs="0"/>
                <xsd:element ref="ns4:TaxCatchAll" minOccurs="0"/>
                <xsd:element ref="ns4:TaxCatchAllLabel" minOccurs="0"/>
                <xsd:element ref="ns5:Geography_x0020_of_x0020_OriginTaxHTField0" minOccurs="0"/>
                <xsd:element ref="ns6:Local_x0020_Content_x0020_TypeTaxHTField0" minOccurs="0"/>
                <xsd:element ref="ns1:Client" minOccurs="0"/>
                <xsd:element ref="ns3:Local_x0020_Internal_x0020_ServiceTaxHTField0" minOccurs="0"/>
                <xsd:element ref="ns6:Global_x0020_Content_x0020_TypeTaxHTField0" minOccurs="0"/>
                <xsd:element ref="ns2:Abstract" minOccurs="0"/>
                <xsd:element ref="ns7:Primary_x0020_Global_x0020_IndustTaxHTField0" minOccurs="0"/>
                <xsd:element ref="ns8:Primary_x0020_Global_x0020_ClientTaxHTField0" minOccurs="0"/>
                <xsd:element ref="ns4:ClientLukup" minOccurs="0"/>
                <xsd:element ref="ns4:ClientID" minOccurs="0"/>
                <xsd:element ref="ns9:IPCO_x0020_DesignationTaxHTField0" minOccurs="0"/>
                <xsd:element ref="ns2:BusinessTitle"/>
                <xsd:element ref="ns10:KAM_x0020_LanguageTaxHTField0" minOccurs="0"/>
                <xsd:element ref="ns7:Primary_x0020_Local_x0020_IndustTaxHTField0" minOccurs="0"/>
                <xsd:element ref="ns1:Author_entered" minOccurs="0"/>
                <xsd:element ref="ns4:i67d27b5dd1e4ed29b03622e76ee750b" minOccurs="0"/>
                <xsd:element ref="ns11:Secondary_x0020_Global_x0020_ClieTaxHTField0" minOccurs="0"/>
                <xsd:element ref="ns12:Secondary_x0020_Local_x0020_InduTaxHTField0" minOccurs="0"/>
                <xsd:element ref="ns13:Applicable_x0020_GeographyTaxHTField0" minOccurs="0"/>
                <xsd:element ref="ns1:Contributor"/>
                <xsd:element ref="ns8:Primary_x0020_Local_x0020_ClientTaxHTField0" minOccurs="0"/>
                <xsd:element ref="ns12:Secondary_x0020_Global_x0020_InduTaxHTField0" minOccurs="0"/>
                <xsd:element ref="ns11:Secondary_x0020_Local_x0020_ClieTaxHTField0" minOccurs="0"/>
                <xsd:element ref="ns2:ContentDate"/>
                <xsd:element ref="ns2:KA_x0020_Resource" minOccurs="0"/>
                <xsd:element ref="ns2:Designated_x0020_QA" minOccurs="0"/>
                <xsd:element ref="ns2:KAMActivity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DescriptionHTML" ma:index="8" nillable="true" ma:displayName="KAM Description" ma:internalName="DescriptionHTML" ma:readOnly="false">
      <xsd:simpleType>
        <xsd:restriction base="dms:Unknown"/>
      </xsd:simpleType>
    </xsd:element>
    <xsd:element name="Author_selected" ma:index="10" nillable="true" ma:displayName="KAM Author" ma:list="UserInfo" ma:SharePointGroup="0" ma:internalName="Author_selected" ma:readOnly="fals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lient" ma:index="19" nillable="true" ma:displayName="Client (text)" ma:internalName="Client" ma:readOnly="false">
      <xsd:simpleType>
        <xsd:restriction base="dms:Text">
          <xsd:maxLength value="255"/>
        </xsd:restriction>
      </xsd:simpleType>
    </xsd:element>
    <xsd:element name="Author_entered" ma:index="38" nillable="true" ma:displayName="KAM Author (text)" ma:internalName="Author_entered" ma:readOnly="false">
      <xsd:simpleType>
        <xsd:restriction base="dms:Text">
          <xsd:maxLength value="255"/>
        </xsd:restriction>
      </xsd:simpleType>
    </xsd:element>
    <xsd:element name="Contributor" ma:index="47" ma:displayName="KAM Contributor" ma:list="UserInfo" ma:SharePointGroup="0" ma:internalName="Contribu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13ae4d5-443f-4bc1-9f25-8f68dc5aa0c0" elementFormDefault="qualified">
    <xsd:import namespace="http://schemas.microsoft.com/office/2006/documentManagement/types"/>
    <xsd:import namespace="http://schemas.microsoft.com/office/infopath/2007/PartnerControls"/>
    <xsd:element name="Abstract" ma:index="24" nillable="true" ma:displayName="Abstract" ma:internalName="Abstract">
      <xsd:simpleType>
        <xsd:restriction base="dms:Note">
          <xsd:maxLength value="150"/>
        </xsd:restriction>
      </xsd:simpleType>
    </xsd:element>
    <xsd:element name="BusinessTitle" ma:index="33" ma:displayName="Business Title" ma:indexed="true" ma:internalName="BusinessTitle" ma:readOnly="false">
      <xsd:simpleType>
        <xsd:restriction base="dms:Text"/>
      </xsd:simpleType>
    </xsd:element>
    <xsd:element name="ContentDate" ma:index="54" ma:displayName="Content Date" ma:format="DateOnly" ma:indexed="true" ma:internalName="ContentDate" ma:readOnly="false">
      <xsd:simpleType>
        <xsd:restriction base="dms:DateTime"/>
      </xsd:simpleType>
    </xsd:element>
    <xsd:element name="KA_x0020_Resource" ma:index="69" nillable="true" ma:displayName="KA Resource" ma:description="Identifies the details of the KA Resource alligned" ma:internalName="KA_x0020_Resource">
      <xsd:simpleType>
        <xsd:restriction base="dms:Text">
          <xsd:maxLength value="255"/>
        </xsd:restriction>
      </xsd:simpleType>
    </xsd:element>
    <xsd:element name="Designated_x0020_QA" ma:index="70" nillable="true" ma:displayName="Designated QA" ma:internalName="Designated_x0020_QA">
      <xsd:simpleType>
        <xsd:restriction base="dms:Text">
          <xsd:maxLength value="255"/>
        </xsd:restriction>
      </xsd:simpleType>
    </xsd:element>
    <xsd:element name="KAMActivityId" ma:index="71" nillable="true" ma:displayName="KAM Activity Id" ma:internalName="KAMActivityId">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F0C9C1-571A-469E-93FE-640E88AEF1EC" elementFormDefault="qualified">
    <xsd:import namespace="http://schemas.microsoft.com/office/2006/documentManagement/types"/>
    <xsd:import namespace="http://schemas.microsoft.com/office/infopath/2007/PartnerControls"/>
    <xsd:element name="Global_x0020_Internal_x0020_ServiceTaxHTField0" ma:index="11" nillable="true" ma:taxonomy="true" ma:internalName="Global_x0020_Internal_x0020_ServiceTaxHTField" ma:taxonomyFieldName="Global_x0020_Internal_x0020_Service" ma:displayName="Global Internal Service" ma:readOnly="false" ma:default="" ma:fieldId="{78949fba-bdc1-4268-a377-2819f8f8cc22}" ma:taxonomyMulti="true" ma:sspId="155bb128-613e-4099-96fa-4403fd0cc87b" ma:termSetId="2d964c90-0fcb-4b60-9702-531635f17251" ma:anchorId="00000000-0000-0000-0000-000000000000" ma:open="false" ma:isKeyword="false">
      <xsd:complexType>
        <xsd:sequence>
          <xsd:element ref="pc:Terms" minOccurs="0" maxOccurs="1"/>
        </xsd:sequence>
      </xsd:complexType>
    </xsd:element>
    <xsd:element name="Local_x0020_Internal_x0020_ServiceTaxHTField0" ma:index="20" nillable="true" ma:taxonomy="true" ma:internalName="Local_x0020_Internal_x0020_ServiceTaxHTField" ma:taxonomyFieldName="Local_x0020_Internal_x0020_Service" ma:displayName="Local Internal Service" ma:readOnly="false" ma:default="" ma:fieldId="{3c6b9500-9e92-4dc8-ac80-766b07b1a639}" ma:taxonomyMulti="true" ma:sspId="155bb128-613e-4099-96fa-4403fd0cc87b" ma:termSetId="a6913820-b621-4796-b77e-fe7afb08f415"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273937-55e7-450c-ac1f-0f7de532f690" elementFormDefault="qualified">
    <xsd:import namespace="http://schemas.microsoft.com/office/2006/documentManagement/types"/>
    <xsd:import namespace="http://schemas.microsoft.com/office/infopath/2007/PartnerControls"/>
    <xsd:element name="TaxCatchAll" ma:index="12" nillable="true" ma:displayName="Taxonomy Catch All Column" ma:description="" ma:hidden="true" ma:list="{35e094c5-d8f1-4f15-bff1-bc665dc24d7d}" ma:internalName="TaxCatchAll" ma:showField="CatchAllData" ma:web="a3273937-55e7-450c-ac1f-0f7de532f690">
      <xsd:complexType>
        <xsd:complexContent>
          <xsd:extension base="dms:MultiChoiceLookup">
            <xsd:sequence>
              <xsd:element name="Value" type="dms:Lookup" maxOccurs="unbounded" minOccurs="0" nillable="true"/>
            </xsd:sequence>
          </xsd:extension>
        </xsd:complexContent>
      </xsd:complexType>
    </xsd:element>
    <xsd:element name="TaxCatchAllLabel" ma:index="13" nillable="true" ma:displayName="Taxonomy Catch All Column1" ma:hidden="true" ma:list="{35e094c5-d8f1-4f15-bff1-bc665dc24d7d}" ma:internalName="TaxCatchAllLabel" ma:readOnly="true" ma:showField="CatchAllDataLabel" ma:web="a3273937-55e7-450c-ac1f-0f7de532f690">
      <xsd:complexType>
        <xsd:complexContent>
          <xsd:extension base="dms:MultiChoiceLookup">
            <xsd:sequence>
              <xsd:element name="Value" type="dms:Lookup" maxOccurs="unbounded" minOccurs="0" nillable="true"/>
            </xsd:sequence>
          </xsd:extension>
        </xsd:complexContent>
      </xsd:complexType>
    </xsd:element>
    <xsd:element name="ClientLukup" ma:index="29" nillable="true" ma:displayName="Client" ma:internalName="ClientLukup" ma:readOnly="false">
      <xsd:simpleType>
        <xsd:restriction base="dms:Text"/>
      </xsd:simpleType>
    </xsd:element>
    <xsd:element name="ClientID" ma:index="30" nillable="true" ma:displayName="ClientID" ma:internalName="ClientID" ma:readOnly="false">
      <xsd:simpleType>
        <xsd:restriction base="dms:Text"/>
      </xsd:simpleType>
    </xsd:element>
    <xsd:element name="i67d27b5dd1e4ed29b03622e76ee750b" ma:index="39" nillable="true" ma:taxonomy="true" ma:internalName="i67d27b5dd1e4ed29b03622e76ee750b" ma:taxonomyFieldName="Badge" ma:displayName="Badge" ma:fieldId="{267d27b5-dd1e-4ed2-9b03-622e76ee750b}" ma:taxonomyMulti="true" ma:sspId="6fbc8ed7-f359-45a5-bf77-267ed0eb5b96" ma:termSetId="7a48158d-64ca-4430-ad6d-4a8049ec2f54"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94E32D3-2E21-4611-87E1-D68FC0813440" elementFormDefault="qualified">
    <xsd:import namespace="http://schemas.microsoft.com/office/2006/documentManagement/types"/>
    <xsd:import namespace="http://schemas.microsoft.com/office/infopath/2007/PartnerControls"/>
    <xsd:element name="Geography_x0020_of_x0020_OriginTaxHTField0" ma:index="15" ma:taxonomy="true" ma:internalName="Geography_x0020_of_x0020_OriginT" ma:taxonomyFieldName="Geography_x0020_of_x0020_Origin" ma:displayName="Geography of Origin" ma:indexed="true" ma:readOnly="false" ma:default="" ma:fieldId="{7a66e3fe-fcb6-4ce2-854d-45e09459c5a7}" ma:sspId="155bb128-613e-4099-96fa-4403fd0cc87b" ma:termSetId="e4340256-abf0-49e3-8918-ff7cf781b3ee"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DD08C88-CC4C-4D35-9129-A70DAA36BE5E" elementFormDefault="qualified">
    <xsd:import namespace="http://schemas.microsoft.com/office/2006/documentManagement/types"/>
    <xsd:import namespace="http://schemas.microsoft.com/office/infopath/2007/PartnerControls"/>
    <xsd:element name="Local_x0020_Content_x0020_TypeTaxHTField0" ma:index="17" ma:taxonomy="true" ma:internalName="Local_x0020_Content_x0020_TypeTa" ma:taxonomyFieldName="Local_x0020_Content_x0020_Type" ma:displayName="Local Content Type" ma:indexed="true" ma:readOnly="false" ma:default="" ma:fieldId="{2366867c-77cd-4933-afd3-42beb1b807cf}" ma:sspId="155bb128-613e-4099-96fa-4403fd0cc87b" ma:termSetId="71325c3c-855f-4016-ae90-48a98c58e6a3" ma:anchorId="00000000-0000-0000-0000-000000000000" ma:open="false" ma:isKeyword="false">
      <xsd:complexType>
        <xsd:sequence>
          <xsd:element ref="pc:Terms" minOccurs="0" maxOccurs="1"/>
        </xsd:sequence>
      </xsd:complexType>
    </xsd:element>
    <xsd:element name="Global_x0020_Content_x0020_TypeTaxHTField0" ma:index="22" ma:taxonomy="true" ma:internalName="Global_x0020_Content_x0020_TypeTa" ma:taxonomyFieldName="Global_x0020_Content_x0020_Type" ma:displayName="Global Content Type" ma:indexed="true" ma:readOnly="false" ma:default="" ma:fieldId="{fcc52b76-f36e-4614-8493-5412b2f37375}" ma:sspId="155bb128-613e-4099-96fa-4403fd0cc87b" ma:termSetId="c1d74e5f-813e-428a-9d1d-e00dfcad3136"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3DDB362-4C05-4E52-A8D9-EF2F47978B8D" elementFormDefault="qualified">
    <xsd:import namespace="http://schemas.microsoft.com/office/2006/documentManagement/types"/>
    <xsd:import namespace="http://schemas.microsoft.com/office/infopath/2007/PartnerControls"/>
    <xsd:element name="Primary_x0020_Global_x0020_IndustTaxHTField0" ma:index="25" nillable="true" ma:taxonomy="true" ma:internalName="Primary_x0020_Global_x0020_Indust0" ma:taxonomyFieldName="Primary_x0020_Global_x0020_Indust" ma:displayName="Primary Global Industry" ma:indexed="true" ma:readOnly="false" ma:default="" ma:fieldId="{9829ff8e-6819-48cd-ae85-b2213487d9e6}" ma:sspId="155bb128-613e-4099-96fa-4403fd0cc87b" ma:termSetId="30ef725a-a352-4b6b-b897-20d376f351a7" ma:anchorId="00000000-0000-0000-0000-000000000000" ma:open="false" ma:isKeyword="false">
      <xsd:complexType>
        <xsd:sequence>
          <xsd:element ref="pc:Terms" minOccurs="0" maxOccurs="1"/>
        </xsd:sequence>
      </xsd:complexType>
    </xsd:element>
    <xsd:element name="Primary_x0020_Local_x0020_IndustTaxHTField0" ma:index="36" nillable="true" ma:taxonomy="true" ma:internalName="Primary_x0020_Local_x0020_Indust0" ma:taxonomyFieldName="Primary_x0020_Local_x0020_Indust" ma:displayName="Primary Local Industry" ma:indexed="true" ma:readOnly="false" ma:default="" ma:fieldId="{6b32ec70-79ed-4643-bd98-fe19e9037b23}" ma:sspId="155bb128-613e-4099-96fa-4403fd0cc87b" ma:termSetId="0f50edd8-f180-4274-afbc-8048378743e9"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7D1768DD-F29E-4DC2-9191-F2636B9FA92C" elementFormDefault="qualified">
    <xsd:import namespace="http://schemas.microsoft.com/office/2006/documentManagement/types"/>
    <xsd:import namespace="http://schemas.microsoft.com/office/infopath/2007/PartnerControls"/>
    <xsd:element name="Primary_x0020_Global_x0020_ClientTaxHTField0" ma:index="27" nillable="true" ma:taxonomy="true" ma:internalName="Primary_x0020_Global_x0020_Client0" ma:taxonomyFieldName="Primary_x0020_Global_x0020_Client" ma:displayName="Primary Global Client Service" ma:indexed="true" ma:readOnly="false" ma:default="" ma:fieldId="{6fa21800-7e1f-46b0-9b6b-749847137ef7}" ma:sspId="155bb128-613e-4099-96fa-4403fd0cc87b" ma:termSetId="44905aca-31e9-4e2c-a2a6-9ecd7fd47edd" ma:anchorId="00000000-0000-0000-0000-000000000000" ma:open="false" ma:isKeyword="false">
      <xsd:complexType>
        <xsd:sequence>
          <xsd:element ref="pc:Terms" minOccurs="0" maxOccurs="1"/>
        </xsd:sequence>
      </xsd:complexType>
    </xsd:element>
    <xsd:element name="Primary_x0020_Local_x0020_ClientTaxHTField0" ma:index="48" nillable="true" ma:taxonomy="true" ma:internalName="Primary_x0020_Local_x0020_Client0" ma:taxonomyFieldName="Primary_x0020_Local_x0020_Client" ma:displayName="Primary Local Client Service" ma:indexed="true" ma:readOnly="false" ma:default="" ma:fieldId="{d67f870b-bb8f-4192-92b2-8d437da53387}" ma:sspId="155bb128-613e-4099-96fa-4403fd0cc87b" ma:termSetId="587f4f2d-e2a8-4747-91a8-ad30e3463844"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0DBE4740-AD0E-4EAB-9055-8EB1C48284D9" elementFormDefault="qualified">
    <xsd:import namespace="http://schemas.microsoft.com/office/2006/documentManagement/types"/>
    <xsd:import namespace="http://schemas.microsoft.com/office/infopath/2007/PartnerControls"/>
    <xsd:element name="IPCO_x0020_DesignationTaxHTField0" ma:index="31" nillable="true" ma:taxonomy="true" ma:internalName="IPCO_x0020_DesignationTaxHTField" ma:taxonomyFieldName="IPCO_x0020_Designation" ma:displayName="IPCO Designation" ma:readOnly="false" ma:default="377;#May be edited and used internally or externally for any purpose (Category D)|f8400f62-65c9-4658-9900-b0ea185e4722" ma:fieldId="{310648f3-cc93-44e0-b643-60c4ef2fcc62}" ma:sspId="155bb128-613e-4099-96fa-4403fd0cc87b" ma:termSetId="4cc4a969-8de7-4bb8-953e-ed88518a96ac"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9C40E9B-856B-46A7-8793-65A6FC1828D8" elementFormDefault="qualified">
    <xsd:import namespace="http://schemas.microsoft.com/office/2006/documentManagement/types"/>
    <xsd:import namespace="http://schemas.microsoft.com/office/infopath/2007/PartnerControls"/>
    <xsd:element name="KAM_x0020_LanguageTaxHTField0" ma:index="34" ma:taxonomy="true" ma:internalName="KAM_x0020_LanguageTaxHTField0" ma:taxonomyFieldName="KAM_x0020_Language" ma:displayName="KAM Language" ma:readOnly="false" ma:default="1;#English (EN) (1787)|b169a262-1aaa-4ccb-9acf-78a36c1d9bab" ma:fieldId="{03648da4-bfa7-4bd1-96dc-f553c5e5b276}" ma:taxonomyMulti="true" ma:sspId="155bb128-613e-4099-96fa-4403fd0cc87b" ma:termSetId="af9198f1-74aa-4e26-b87e-e1ce7d7e6bdb"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A0186DE-B11E-4A29-9C82-428D45BCA71F" elementFormDefault="qualified">
    <xsd:import namespace="http://schemas.microsoft.com/office/2006/documentManagement/types"/>
    <xsd:import namespace="http://schemas.microsoft.com/office/infopath/2007/PartnerControls"/>
    <xsd:element name="Secondary_x0020_Global_x0020_ClieTaxHTField0" ma:index="41" nillable="true" ma:taxonomy="true" ma:internalName="Secondary_x0020_Global_x0020_Clie0" ma:taxonomyFieldName="Secondary_x0020_Global_x0020_Clie" ma:displayName="Secondary Global Client Service" ma:readOnly="false" ma:default="" ma:fieldId="{936248a3-a03a-4130-81ab-4d29e233dc55}" ma:taxonomyMulti="true" ma:sspId="155bb128-613e-4099-96fa-4403fd0cc87b" ma:termSetId="44905aca-31e9-4e2c-a2a6-9ecd7fd47edd" ma:anchorId="00000000-0000-0000-0000-000000000000" ma:open="false" ma:isKeyword="false">
      <xsd:complexType>
        <xsd:sequence>
          <xsd:element ref="pc:Terms" minOccurs="0" maxOccurs="1"/>
        </xsd:sequence>
      </xsd:complexType>
    </xsd:element>
    <xsd:element name="Secondary_x0020_Local_x0020_ClieTaxHTField0" ma:index="52" nillable="true" ma:taxonomy="true" ma:internalName="Secondary_x0020_Local_x0020_Clie0" ma:taxonomyFieldName="Secondary_x0020_Local_x0020_Clie" ma:displayName="Secondary Local Client Service" ma:readOnly="false" ma:default="" ma:fieldId="{28eebca6-6196-4823-bbf3-f044ece0fe5d}" ma:taxonomyMulti="true" ma:sspId="155bb128-613e-4099-96fa-4403fd0cc87b" ma:termSetId="587f4f2d-e2a8-4747-91a8-ad30e3463844"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546D9DE3-080E-4EC6-B7DD-508C11F603C7" elementFormDefault="qualified">
    <xsd:import namespace="http://schemas.microsoft.com/office/2006/documentManagement/types"/>
    <xsd:import namespace="http://schemas.microsoft.com/office/infopath/2007/PartnerControls"/>
    <xsd:element name="Secondary_x0020_Local_x0020_InduTaxHTField0" ma:index="43" nillable="true" ma:taxonomy="true" ma:internalName="Secondary_x0020_Local_x0020_Indu0" ma:taxonomyFieldName="Secondary_x0020_Local_x0020_Indu" ma:displayName="Secondary Local Industry" ma:readOnly="false" ma:default="" ma:fieldId="{9d641368-8359-4fe4-aecd-cff6926473b4}" ma:taxonomyMulti="true" ma:sspId="155bb128-613e-4099-96fa-4403fd0cc87b" ma:termSetId="0f50edd8-f180-4274-afbc-8048378743e9" ma:anchorId="00000000-0000-0000-0000-000000000000" ma:open="false" ma:isKeyword="false">
      <xsd:complexType>
        <xsd:sequence>
          <xsd:element ref="pc:Terms" minOccurs="0" maxOccurs="1"/>
        </xsd:sequence>
      </xsd:complexType>
    </xsd:element>
    <xsd:element name="Secondary_x0020_Global_x0020_InduTaxHTField0" ma:index="50" nillable="true" ma:taxonomy="true" ma:internalName="Secondary_x0020_Global_x0020_Indu0" ma:taxonomyFieldName="Secondary_x0020_Global_x0020_Indu" ma:displayName="Secondary Global Industry" ma:readOnly="false" ma:default="" ma:fieldId="{a5fbaf9d-c649-4b58-88fb-19e85bd08591}" ma:taxonomyMulti="true" ma:sspId="155bb128-613e-4099-96fa-4403fd0cc87b" ma:termSetId="30ef725a-a352-4b6b-b897-20d376f351a7"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5A51C775-C49C-428B-8C1E-2F89178D00F4" elementFormDefault="qualified">
    <xsd:import namespace="http://schemas.microsoft.com/office/2006/documentManagement/types"/>
    <xsd:import namespace="http://schemas.microsoft.com/office/infopath/2007/PartnerControls"/>
    <xsd:element name="Applicable_x0020_GeographyTaxHTField0" ma:index="45" ma:taxonomy="true" ma:internalName="Applicable_x0020_GeographyTaxHTF" ma:taxonomyFieldName="Applicable_x0020_Geography" ma:displayName="Applicable Geography" ma:readOnly="false" ma:default="" ma:fieldId="{c7b729d8-9a17-489c-8693-58538765e77f}" ma:taxonomyMulti="true" ma:sspId="155bb128-613e-4099-96fa-4403fd0cc87b" ma:termSetId="2da3d9cd-4380-47c9-85c9-ae2863040828"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p:Policy xmlns:p="office.server.policy" id="" local="true">
  <p:Name>Document</p:Name>
  <p:Description/>
  <p:Statement/>
  <p:PolicyItems>
    <p:PolicyItem featureId="Microsoft.Office.RecordsManagement.PolicyFeatures.Expiration" staticId="0x0101009154B50188E7004C95D85890F4F1DFDA|-1299427027" UniqueId="7457ff66-eff2-4ee3-9872-2c322a04a374">
      <p:Name>Retention</p:Name>
      <p:Description>Automatic scheduling of content for processing, and performing a retention action on content that has reached its due date.</p:Description>
      <p:CustomData>
        <Schedules nextStageId="2">
          <Schedule type="Default">
            <stages>
              <data stageId="1">
                <formula id="Microsoft.Office.RecordsManagement.PolicyFeatures.Expiration.Formula.BuiltIn">
                  <number>2</number>
                  <property>Created</property>
                  <propertyId>8c06beca-0777-48f7-91c7-6da68bc07b69</propertyId>
                  <period>days</period>
                </formula>
                <action type="action" id="Microsoft.Office.RecordsManagement.PolicyFeatures.Expiration.Action.MoveToRecycleBin"/>
              </data>
            </stages>
          </Schedule>
        </Schedules>
      </p:CustomData>
    </p:PolicyItem>
  </p:PolicyItems>
</p:Policy>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F2D23581-8802-4E5F-BE66-EA641539898A}">
  <ds:schemaRefs>
    <ds:schemaRef ds:uri="http://purl.org/dc/elements/1.1/"/>
    <ds:schemaRef ds:uri="http://schemas.microsoft.com/office/infopath/2007/PartnerControls"/>
    <ds:schemaRef ds:uri="http://purl.org/dc/terms/"/>
    <ds:schemaRef ds:uri="http://schemas.microsoft.com/office/2006/metadata/properties"/>
    <ds:schemaRef ds:uri="a381bf65-fcb5-418f-8c2c-f8ac0be8c4c9"/>
    <ds:schemaRef ds:uri="http://schemas.microsoft.com/office/2006/documentManagement/types"/>
    <ds:schemaRef ds:uri="http://schemas.openxmlformats.org/package/2006/metadata/core-properties"/>
    <ds:schemaRef ds:uri="f424c38f-bd0e-49ba-bf6c-c1652dac1a0a"/>
    <ds:schemaRef ds:uri="http://www.w3.org/XML/1998/namespace"/>
    <ds:schemaRef ds:uri="http://purl.org/dc/dcmitype/"/>
  </ds:schemaRefs>
</ds:datastoreItem>
</file>

<file path=customXml/itemProps2.xml><?xml version="1.0" encoding="utf-8"?>
<ds:datastoreItem xmlns:ds="http://schemas.openxmlformats.org/officeDocument/2006/customXml" ds:itemID="{D3AFE7BE-A269-46A7-995C-2E675B9E3CA1}">
  <ds:schemaRefs>
    <ds:schemaRef ds:uri="http://schemas.microsoft.com/sharepoint/v3/contenttype/forms"/>
  </ds:schemaRefs>
</ds:datastoreItem>
</file>

<file path=customXml/itemProps3.xml><?xml version="1.0" encoding="utf-8"?>
<ds:datastoreItem xmlns:ds="http://schemas.openxmlformats.org/officeDocument/2006/customXml" ds:itemID="{428645F3-829B-4FB7-9C24-7588DCEA8943}"/>
</file>

<file path=customXml/itemProps4.xml><?xml version="1.0" encoding="utf-8"?>
<ds:datastoreItem xmlns:ds="http://schemas.openxmlformats.org/officeDocument/2006/customXml" ds:itemID="{8D71E697-6304-47F2-9447-C07EC4400AFA}"/>
</file>

<file path=customXml/itemProps5.xml><?xml version="1.0" encoding="utf-8"?>
<ds:datastoreItem xmlns:ds="http://schemas.openxmlformats.org/officeDocument/2006/customXml" ds:itemID="{AA05D58E-6FCA-413B-A26B-E36A50F1E4F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Complexity Definitions</vt:lpstr>
      <vt:lpstr>Define Scope</vt:lpstr>
      <vt:lpstr>Data Entry</vt:lpstr>
      <vt:lpstr>Estimation Summary</vt:lpstr>
      <vt:lpstr>Testing Effort Break-Up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dsubudhi@deloitte.com</dc:creator>
  <cp:keywords/>
  <dc:description/>
  <cp:lastModifiedBy>Ritesh Tewary</cp:lastModifiedBy>
  <cp:revision/>
  <dcterms:created xsi:type="dcterms:W3CDTF">2015-06-05T18:17:20Z</dcterms:created>
  <dcterms:modified xsi:type="dcterms:W3CDTF">2020-03-24T15:02:17Z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0x0101002880177DFDC248C38C745E1D664A5FC5009468A19E74275348838589BEFD6A9573</vt:lpwstr>
  </property>
  <property fmtid="{D5CDD505-2E9C-101B-9397-08002B2CF9AE}" pid="3" name="Order">
    <vt:r8>30900</vt:r8>
  </property>
  <property fmtid="{D5CDD505-2E9C-101B-9397-08002B2CF9AE}" pid="4" name="xd_Signature">
    <vt:bool>false</vt:bool>
  </property>
  <property fmtid="{D5CDD505-2E9C-101B-9397-08002B2CF9AE}" pid="5" name="xd_ProgID">
    <vt:lpwstr/>
  </property>
  <property fmtid="{D5CDD505-2E9C-101B-9397-08002B2CF9AE}" pid="6" name="ComplianceAssetId">
    <vt:lpwstr/>
  </property>
  <property fmtid="{D5CDD505-2E9C-101B-9397-08002B2CF9AE}" pid="7" name="TemplateUrl">
    <vt:lpwstr/>
  </property>
  <property fmtid="{D5CDD505-2E9C-101B-9397-08002B2CF9AE}" pid="8" name="_dlc_policyId">
    <vt:lpwstr/>
  </property>
  <property fmtid="{D5CDD505-2E9C-101B-9397-08002B2CF9AE}" pid="9" name="ItemRetentionFormula">
    <vt:lpwstr/>
  </property>
  <property fmtid="{D5CDD505-2E9C-101B-9397-08002B2CF9AE}" pid="10" name="Local Content Type">
    <vt:lpwstr>14564;#United States:Templates:Deliverable Templates|8158b41d-9a08-4cdb-8811-859533dc699d</vt:lpwstr>
  </property>
  <property fmtid="{D5CDD505-2E9C-101B-9397-08002B2CF9AE}" pid="11" name="Primary Local Client">
    <vt:lpwstr>17779;#Global:Consulting:Core Business Operations|42468e4a-b2ea-4028-8de0-b4c4da8d97c9</vt:lpwstr>
  </property>
  <property fmtid="{D5CDD505-2E9C-101B-9397-08002B2CF9AE}" pid="12" name="Badge">
    <vt:lpwstr/>
  </property>
  <property fmtid="{D5CDD505-2E9C-101B-9397-08002B2CF9AE}" pid="13" name="Applicable Geography">
    <vt:lpwstr>375;#Global|f12aef73-b423-4016-a43f-15722d3a0a5e</vt:lpwstr>
  </property>
  <property fmtid="{D5CDD505-2E9C-101B-9397-08002B2CF9AE}" pid="14" name="Secondary Local Indu">
    <vt:lpwstr/>
  </property>
  <property fmtid="{D5CDD505-2E9C-101B-9397-08002B2CF9AE}" pid="15" name="Primary Local Indust">
    <vt:lpwstr/>
  </property>
  <property fmtid="{D5CDD505-2E9C-101B-9397-08002B2CF9AE}" pid="16" name="Geography of Origin">
    <vt:lpwstr>19316;#Americas (Region):United States:United States (US)|8cb0099f-1dbf-4b3c-9b7f-d98051a79fa3</vt:lpwstr>
  </property>
  <property fmtid="{D5CDD505-2E9C-101B-9397-08002B2CF9AE}" pid="17" name="KAM Language">
    <vt:lpwstr>19307;#English (EN) (1787)|b169a262-1aaa-4ccb-9acf-78a36c1d9bab</vt:lpwstr>
  </property>
  <property fmtid="{D5CDD505-2E9C-101B-9397-08002B2CF9AE}" pid="18" name="Primary Global Client">
    <vt:lpwstr>17786;#Consulting:Core Business Operations|42468e4a-b2ea-4028-8de0-b4c4da8d97c9</vt:lpwstr>
  </property>
  <property fmtid="{D5CDD505-2E9C-101B-9397-08002B2CF9AE}" pid="19" name="Secondary Global Indu">
    <vt:lpwstr/>
  </property>
  <property fmtid="{D5CDD505-2E9C-101B-9397-08002B2CF9AE}" pid="20" name="Secondary Global Clie">
    <vt:lpwstr/>
  </property>
  <property fmtid="{D5CDD505-2E9C-101B-9397-08002B2CF9AE}" pid="21" name="Primary Global Indust">
    <vt:lpwstr/>
  </property>
  <property fmtid="{D5CDD505-2E9C-101B-9397-08002B2CF9AE}" pid="22" name="Global Content Type">
    <vt:lpwstr>14521;#Templates:Deliverable Templates|db988a17-066d-4b80-884a-8ad3dfe301fa</vt:lpwstr>
  </property>
  <property fmtid="{D5CDD505-2E9C-101B-9397-08002B2CF9AE}" pid="23" name="Local Internal Service">
    <vt:lpwstr/>
  </property>
  <property fmtid="{D5CDD505-2E9C-101B-9397-08002B2CF9AE}" pid="24" name="Global Internal Service">
    <vt:lpwstr/>
  </property>
  <property fmtid="{D5CDD505-2E9C-101B-9397-08002B2CF9AE}" pid="25" name="Secondary Local Clie">
    <vt:lpwstr/>
  </property>
  <property fmtid="{D5CDD505-2E9C-101B-9397-08002B2CF9AE}" pid="26" name="IPCO Designation">
    <vt:lpwstr>4014;#May be edited and used internally or externally for any purpose (Category D)|f8400f62-65c9-4658-9900-b0ea185e4722</vt:lpwstr>
  </property>
  <property fmtid="{D5CDD505-2E9C-101B-9397-08002B2CF9AE}" pid="27" name="_docset_NoMedatataSyncRequired">
    <vt:lpwstr>False</vt:lpwstr>
  </property>
  <property fmtid="{D5CDD505-2E9C-101B-9397-08002B2CF9AE}" pid="28" name="_dlc_DocIdPersistId">
    <vt:bool>true</vt:bool>
  </property>
</Properties>
</file>